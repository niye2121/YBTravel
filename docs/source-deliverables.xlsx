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comments8.xml" ContentType="application/vnd.openxmlformats-officedocument.spreadsheetml.comments+xml"/>
  <Override PartName="/xl/threadedcomments/threadedcomment8.xml" ContentType="application/vnd.ms-excel.threadedcomments+xml"/>
  <Override PartName="/xl/tables/table10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a44158d8b44b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4221c4e5a60d424d"/>
    <x:sheet xmlns:r="http://schemas.openxmlformats.org/officeDocument/2006/relationships" name="All Deliverables" sheetId="2" r:id="R518ecd9702bd4019"/>
    <x:sheet xmlns:r="http://schemas.openxmlformats.org/officeDocument/2006/relationships" name="Phase 1" sheetId="3" r:id="R74891af07a6a4960"/>
    <x:sheet xmlns:r="http://schemas.openxmlformats.org/officeDocument/2006/relationships" name="Phase 2" sheetId="4" r:id="R15a4773124d34e77"/>
    <x:sheet xmlns:r="http://schemas.openxmlformats.org/officeDocument/2006/relationships" name="Phase 3" sheetId="5" r:id="Rdd97201c4dc54e54"/>
    <x:sheet xmlns:r="http://schemas.openxmlformats.org/officeDocument/2006/relationships" name="Phase 4" sheetId="6" r:id="R40ef2484dd8b4dd7"/>
    <x:sheet xmlns:r="http://schemas.openxmlformats.org/officeDocument/2006/relationships" name="Phase 5" sheetId="7" r:id="R9ea5d57426da4526"/>
    <x:sheet xmlns:r="http://schemas.openxmlformats.org/officeDocument/2006/relationships" name="Phase 6" sheetId="8" r:id="Rfff0063b2d35432b"/>
    <x:sheet xmlns:r="http://schemas.openxmlformats.org/officeDocument/2006/relationships" name="Phase 7" sheetId="9" r:id="Rd65b3f1ba6f34f99"/>
    <x:sheet xmlns:r="http://schemas.openxmlformats.org/officeDocument/2006/relationships" name="Phase 8" sheetId="10" r:id="Rb8f5ab50a13c457f"/>
  </x:sheets>
</x:workbook>
</file>

<file path=xl/comments1.xml><?xml version="1.0" encoding="utf-8"?>
<x:comments xmlns:x="http://schemas.openxmlformats.org/spreadsheetml/2006/main">
  <x:authors>
    <x:author>tc={673EF6F3-6D0F-006B-7CFE-F6A6266F205F}</x:author>
  </x:authors>
  <x:commentList>
    <x:comment ref="B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This tab is the editable source for Phase 1. Changes made here flow into the All Deliverables roll-up.</x:t>
        </x:r>
      </x:text>
    </x:comment>
  </x:commentList>
</x:comments>
</file>

<file path=xl/comments2.xml><?xml version="1.0" encoding="utf-8"?>
<x:comments xmlns:x="http://schemas.openxmlformats.org/spreadsheetml/2006/main">
  <x:authors>
    <x:author>tc={0C3651C6-3317-F941-A339-313AFDFBB7EE}</x:author>
  </x:authors>
  <x:commentList>
    <x:comment ref="B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This tab is the editable source for Phase 2. Changes made here flow into the All Deliverables roll-up.</x:t>
        </x:r>
      </x:text>
    </x:comment>
  </x:commentList>
</x:comments>
</file>

<file path=xl/comments3.xml><?xml version="1.0" encoding="utf-8"?>
<x:comments xmlns:x="http://schemas.openxmlformats.org/spreadsheetml/2006/main">
  <x:authors>
    <x:author>tc={502B202B-EE7E-AEC3-784D-4214C9BE7E2F}</x:author>
  </x:authors>
  <x:commentList>
    <x:comment ref="B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This tab is the editable source for Phase 3. Changes made here flow into the All Deliverables roll-up.</x:t>
        </x:r>
      </x:text>
    </x:comment>
  </x:commentList>
</x:comments>
</file>

<file path=xl/comments4.xml><?xml version="1.0" encoding="utf-8"?>
<x:comments xmlns:x="http://schemas.openxmlformats.org/spreadsheetml/2006/main">
  <x:authors>
    <x:author>tc={F08F7D19-80B9-A45E-7D6A-0776917648A1}</x:author>
  </x:authors>
  <x:commentList>
    <x:comment ref="B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This tab is the editable source for Phase 4. Changes made here flow into the All Deliverables roll-up.</x:t>
        </x:r>
      </x:text>
    </x:comment>
  </x:commentList>
</x:comments>
</file>

<file path=xl/comments5.xml><?xml version="1.0" encoding="utf-8"?>
<x:comments xmlns:x="http://schemas.openxmlformats.org/spreadsheetml/2006/main">
  <x:authors>
    <x:author>tc={F0A2A3AD-5030-32B0-5DED-CB7B5B267A27}</x:author>
  </x:authors>
  <x:commentList>
    <x:comment ref="B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This tab is the editable source for Phase 5. Changes made here flow into the All Deliverables roll-up.</x:t>
        </x:r>
      </x:text>
    </x:comment>
  </x:commentList>
</x:comments>
</file>

<file path=xl/comments6.xml><?xml version="1.0" encoding="utf-8"?>
<x:comments xmlns:x="http://schemas.openxmlformats.org/spreadsheetml/2006/main">
  <x:authors>
    <x:author>tc={8806A38E-333E-97CB-CAB6-08B23AB90430}</x:author>
  </x:authors>
  <x:commentList>
    <x:comment ref="B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This tab is the editable source for Phase 6. Changes made here flow into the All Deliverables roll-up.</x:t>
        </x:r>
      </x:text>
    </x:comment>
  </x:commentList>
</x:comments>
</file>

<file path=xl/comments7.xml><?xml version="1.0" encoding="utf-8"?>
<x:comments xmlns:x="http://schemas.openxmlformats.org/spreadsheetml/2006/main">
  <x:authors>
    <x:author>tc={460678A6-779D-2C10-F394-779372DF476E}</x:author>
  </x:authors>
  <x:commentList>
    <x:comment ref="B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This tab is the editable source for Phase 7. Changes made here flow into the All Deliverables roll-up.</x:t>
        </x:r>
      </x:text>
    </x:comment>
  </x:commentList>
</x:comments>
</file>

<file path=xl/comments8.xml><?xml version="1.0" encoding="utf-8"?>
<x:comments xmlns:x="http://schemas.openxmlformats.org/spreadsheetml/2006/main">
  <x:authors>
    <x:author>tc={CC7EDEDD-3ED9-B32F-86DF-23E0F92AF2BF}</x:author>
  </x:authors>
  <x:commentList>
    <x:comment ref="B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This tab is the editable source for Phase 8. Changes made here flow into the All Deliverables roll-up.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yyyy-mm-dd"/>
  </x:numFmts>
  <x:fonts count="24">
    <x:font>
      <x:sz val="11"/>
      <x:name val="Carlito"/>
    </x:font>
    <x:font>
      <x:b/>
      <x:sz val="18"/>
      <x:color rgb="FFFFFFFF"/>
      <x:name val="Carlito"/>
    </x:font>
    <x:font>
      <x:sz val="11"/>
      <x:color rgb="FF17324D"/>
      <x:name val="Carlito"/>
    </x:font>
    <x:font>
      <x:i/>
      <x:sz val="10"/>
      <x:color rgb="FF6B4F00"/>
      <x:name val="Carlito"/>
    </x:font>
    <x:font>
      <x:sz val="10"/>
      <x:color rgb="FF44546A"/>
      <x:name val="Carlito"/>
    </x:font>
    <x:font>
      <x:b/>
      <x:sz val="10"/>
      <x:color rgb="FF17324D"/>
      <x:name val="Carlito"/>
    </x:font>
    <x:font>
      <x:b/>
      <x:sz val="10"/>
      <x:color rgb="FFFFFFFF"/>
      <x:name val="Carlito"/>
    </x:font>
    <x:font>
      <x:sz val="10"/>
      <x:color rgb="FF1F2937"/>
      <x:name val="Carlito"/>
    </x:font>
    <x:font>
      <x:sz val="10"/>
      <x:color rgb="FF6B4F00"/>
      <x:name val="Carlito"/>
    </x:font>
    <x:font>
      <x:b/>
      <x:sz val="20"/>
      <x:color rgb="FF17324D"/>
      <x:name val="Carlito"/>
    </x:font>
    <x:font>
      <x:b/>
      <x:sz val="12"/>
      <x:color rgb="FFFFFFFF"/>
      <x:name val="Carlito"/>
    </x:font>
    <x:font>
      <x:b/>
      <x:sz val="11"/>
      <x:color rgb="FF17324D"/>
      <x:name val="Carlito"/>
    </x:font>
    <x:font>
      <x:b/>
      <x:sz val="18"/>
      <x:color rgb="FFFFFFFF"/>
      <x:name val="Aptos"/>
    </x:font>
    <x:font>
      <x:sz val="11"/>
      <x:color rgb="FF17324D"/>
      <x:name val="Aptos"/>
    </x:font>
    <x:font>
      <x:sz val="11"/>
      <x:name val="Aptos"/>
    </x:font>
    <x:font>
      <x:sz val="10"/>
      <x:color rgb="FF6B4F00"/>
      <x:name val="Aptos"/>
    </x:font>
    <x:font>
      <x:b/>
      <x:sz val="10"/>
      <x:color rgb="FFFFFFFF"/>
      <x:name val="Aptos"/>
    </x:font>
    <x:font>
      <x:b/>
      <x:sz val="20"/>
      <x:color rgb="FF17324D"/>
      <x:name val="Aptos"/>
    </x:font>
    <x:font>
      <x:sz val="10"/>
      <x:color rgb="FF1F2937"/>
      <x:name val="Aptos"/>
    </x:font>
    <x:font>
      <x:b/>
      <x:sz val="12"/>
      <x:color rgb="FFFFFFFF"/>
      <x:name val="Aptos"/>
    </x:font>
    <x:font>
      <x:b/>
      <x:sz val="11"/>
      <x:color rgb="FF17324D"/>
      <x:name val="Aptos"/>
    </x:font>
    <x:font>
      <x:i/>
      <x:sz val="10"/>
      <x:color rgb="FF6B4F00"/>
      <x:name val="Aptos"/>
    </x:font>
    <x:font>
      <x:b/>
      <x:sz val="10"/>
      <x:color rgb="FF17324D"/>
      <x:name val="Aptos"/>
    </x:font>
    <x:font>
      <x:sz val="10"/>
      <x:color rgb="FF44546A"/>
      <x:name val="Aptos"/>
    </x:font>
  </x:fonts>
  <x:fills count="11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DEBF7"/>
      </x:patternFill>
    </x:fill>
    <x:fill>
      <x:patternFill patternType="solid">
        <x:fgColor rgb="FFFFF8E1"/>
      </x:patternFill>
    </x:fill>
    <x:fill>
      <x:patternFill patternType="solid">
        <x:fgColor rgb="FFF4F7FA"/>
      </x:patternFill>
    </x:fill>
    <x:fill>
      <x:patternFill patternType="solid">
        <x:fgColor rgb="FF0F766E"/>
      </x:patternFill>
    </x:fill>
    <x:fill>
      <x:patternFill patternType="solid">
        <x:fgColor rgb="FFF8FAFC"/>
      </x:patternFill>
    </x:fill>
    <x:fill>
      <x:patternFill patternType="solid">
        <x:fgColor rgb="FFEEF5F9"/>
      </x:patternFill>
    </x:fill>
    <x:fill>
      <x:patternFill patternType="solid">
        <x:fgColor rgb="FFFFF2CC"/>
      </x:patternFill>
    </x:fill>
    <x:fill>
      <x:patternFill patternType="solid">
        <x:fgColor rgb="FFE8F1F5"/>
      </x:patternFill>
    </x:fill>
  </x:fills>
  <x:borders count="20">
    <x:border/>
    <x:border>
      <x:left style="thin">
        <x:color rgb="FFCDD5DF"/>
      </x:left>
      <x:top style="thin">
        <x:color rgb="FFCDD5DF"/>
      </x:top>
      <x:bottom style="thin">
        <x:color rgb="FFCDD5DF"/>
      </x:bottom>
    </x:border>
    <x:border>
      <x:top style="thin">
        <x:color rgb="FFCDD5DF"/>
      </x:top>
      <x:bottom style="thin">
        <x:color rgb="FFCDD5DF"/>
      </x:bottom>
    </x:border>
    <x:border>
      <x:right style="thin">
        <x:color rgb="FFCDD5DF"/>
      </x:right>
      <x:top style="thin">
        <x:color rgb="FFCDD5DF"/>
      </x:top>
      <x:bottom style="thin">
        <x:color rgb="FFCDD5DF"/>
      </x:bottom>
    </x:border>
    <x:border>
      <x:left style="thin">
        <x:color rgb="FF0F766E"/>
      </x:left>
      <x:top style="thin">
        <x:color rgb="FF0F766E"/>
      </x:top>
      <x:bottom style="thin">
        <x:color rgb="FF0F766E"/>
      </x:bottom>
    </x:border>
    <x:border>
      <x:top style="thin">
        <x:color rgb="FF0F766E"/>
      </x:top>
      <x:bottom style="thin">
        <x:color rgb="FF0F766E"/>
      </x:bottom>
    </x:border>
    <x:border>
      <x:right style="thin">
        <x:color rgb="FF0F766E"/>
      </x:right>
      <x:top style="thin">
        <x:color rgb="FF0F766E"/>
      </x:top>
      <x:bottom style="thin">
        <x:color rgb="FF0F766E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DD5DF"/>
      </x:bottom>
    </x:border>
    <x:border>
      <x:top style="thin">
        <x:color rgb="FFE5E7EB"/>
      </x:top>
    </x:border>
    <x:border>
      <x:left style="thin">
        <x:color rgb="FFD9A441"/>
      </x:left>
      <x:top style="thin">
        <x:color rgb="FFD9A441"/>
      </x:top>
      <x:bottom style="thin">
        <x:color rgb="FFD9A441"/>
      </x:bottom>
    </x:border>
    <x:border>
      <x:top style="thin">
        <x:color rgb="FFD9A441"/>
      </x:top>
      <x:bottom style="thin">
        <x:color rgb="FFD9A441"/>
      </x:bottom>
    </x:border>
    <x:border>
      <x:right style="thin">
        <x:color rgb="FFD9A441"/>
      </x:right>
      <x:top style="thin">
        <x:color rgb="FFD9A441"/>
      </x:top>
      <x:bottom style="thin">
        <x:color rgb="FFD9A441"/>
      </x:bottom>
    </x:border>
    <x:border>
      <x:left style="thin">
        <x:color rgb="FFCDD5DF"/>
      </x:left>
      <x:top style="thin">
        <x:color rgb="FFCDD5DF"/>
      </x:top>
    </x:border>
    <x:border>
      <x:right style="thin">
        <x:color rgb="FFCDD5DF"/>
      </x:right>
      <x:top style="thin">
        <x:color rgb="FFCDD5DF"/>
      </x:top>
    </x:border>
    <x:border>
      <x:left style="thin">
        <x:color rgb="FFCDD5DF"/>
      </x:left>
      <x:bottom style="thin">
        <x:color rgb="FFCDD5DF"/>
      </x:bottom>
    </x:border>
    <x:border>
      <x:right style="thin">
        <x:color rgb="FFCDD5DF"/>
      </x:right>
      <x:bottom style="thin">
        <x:color rgb="FFCDD5DF"/>
      </x:bottom>
    </x:border>
    <x:border>
      <x:left style="thin">
        <x:color rgb="FFCDD5DF"/>
      </x:left>
    </x:border>
    <x:border>
      <x:right style="thin">
        <x:color rgb="FFCDD5DF"/>
      </x:right>
    </x:border>
  </x:borders>
  <x:cellStyleXfs count="1">
    <x:xf numFmtId="0" fontId="0" fillId="0" borderId="0"/>
  </x:cellStyleXfs>
  <x:cellXfs count="18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0" fontId="4" fillId="5" borderId="2" xfId="0" applyNumberFormat="1" applyFont="1" applyFill="1" applyBorder="1" applyAlignment="1">
      <x:alignment vertical="center" wrapText="1"/>
    </x:xf>
    <x:xf numFmtId="0" fontId="4" fillId="5" borderId="3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5" fillId="5" borderId="2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4" xfId="0" applyNumberFormat="1" applyFont="1" applyFill="1" applyBorder="1"/>
    <x:xf numFmtId="0" fontId="6" fillId="6" borderId="5" xfId="0" applyNumberFormat="1" applyFont="1" applyFill="1" applyBorder="1"/>
    <x:xf numFmtId="0" fontId="6" fillId="6" borderId="6" xfId="0" applyNumberFormat="1" applyFont="1" applyFill="1" applyBorder="1"/>
    <x:xf numFmtId="0" fontId="6" fillId="6" borderId="4" xfId="0" applyNumberFormat="1" applyFont="1" applyFill="1" applyBorder="1" applyAlignment="1">
      <x:alignment wrapText="1"/>
    </x:xf>
    <x:xf numFmtId="0" fontId="6" fillId="6" borderId="5" xfId="0" applyNumberFormat="1" applyFont="1" applyFill="1" applyBorder="1" applyAlignment="1">
      <x:alignment wrapText="1"/>
    </x:xf>
    <x:xf numFmtId="0" fontId="6" fillId="6" borderId="6" xfId="0" applyNumberFormat="1" applyFont="1" applyFill="1" applyBorder="1" applyAlignment="1">
      <x:alignment wrapText="1"/>
    </x:xf>
    <x:xf numFmtId="0" fontId="6" fillId="6" borderId="4" xfId="0" applyNumberFormat="1" applyFont="1" applyFill="1" applyBorder="1" applyAlignment="1">
      <x:alignment horizontal="center" wrapText="1"/>
    </x:xf>
    <x:xf numFmtId="0" fontId="6" fillId="6" borderId="5" xfId="0" applyNumberFormat="1" applyFont="1" applyFill="1" applyBorder="1" applyAlignment="1">
      <x:alignment horizontal="center" wrapText="1"/>
    </x:xf>
    <x:xf numFmtId="0" fontId="6" fillId="6" borderId="6" xfId="0" applyNumberFormat="1" applyFont="1" applyFill="1" applyBorder="1" applyAlignment="1">
      <x:alignment horizontal="center" wrapText="1"/>
    </x:xf>
    <x:xf numFmtId="0" fontId="6" fillId="6" borderId="4" xfId="0" applyNumberFormat="1" applyFont="1" applyFill="1" applyBorder="1" applyAlignment="1">
      <x:alignment horizontal="center" vertical="center" wrapText="1"/>
    </x:xf>
    <x:xf numFmtId="0" fontId="6" fillId="6" borderId="5" xfId="0" applyNumberFormat="1" applyFont="1" applyFill="1" applyBorder="1" applyAlignment="1">
      <x:alignment horizontal="center" vertical="center" wrapText="1"/>
    </x:xf>
    <x:xf numFmtId="0" fontId="6" fillId="6" borderId="6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7" xfId="0" applyNumberFormat="1" applyFont="1" applyFill="1" applyBorder="1"/>
    <x:xf numFmtId="0" fontId="7" fillId="0" borderId="8" xfId="0" applyNumberFormat="1" applyFont="1" applyFill="1" applyBorder="1"/>
    <x:xf numFmtId="0" fontId="7" fillId="0" borderId="9" xfId="0" applyNumberFormat="1" applyFont="1" applyFill="1" applyBorder="1"/>
    <x:xf numFmtId="0" fontId="7" fillId="0" borderId="7" xfId="0" applyNumberFormat="1" applyFont="1" applyFill="1" applyBorder="1" applyAlignment="1">
      <x:alignment wrapText="1"/>
    </x:xf>
    <x:xf numFmtId="0" fontId="7" fillId="0" borderId="8" xfId="0" applyNumberFormat="1" applyFont="1" applyFill="1" applyBorder="1" applyAlignment="1">
      <x:alignment wrapText="1"/>
    </x:xf>
    <x:xf numFmtId="0" fontId="7" fillId="0" borderId="9" xfId="0" applyNumberFormat="1" applyFont="1" applyFill="1" applyBorder="1" applyAlignment="1">
      <x:alignment wrapText="1"/>
    </x:xf>
    <x:xf numFmtId="0" fontId="7" fillId="0" borderId="7" xfId="0" applyNumberFormat="1" applyFont="1" applyFill="1" applyBorder="1" applyAlignment="1">
      <x:alignment vertical="top" wrapText="1"/>
    </x:xf>
    <x:xf numFmtId="0" fontId="7" fillId="0" borderId="8" xfId="0" applyNumberFormat="1" applyFont="1" applyFill="1" applyBorder="1" applyAlignment="1">
      <x:alignment vertical="top" wrapText="1"/>
    </x:xf>
    <x:xf numFmtId="0" fontId="7" fillId="0" borderId="9" xfId="0" applyNumberFormat="1" applyFont="1" applyFill="1" applyBorder="1" applyAlignment="1">
      <x:alignment vertical="top" wrapText="1"/>
    </x:xf>
    <x:xf numFmtId="0" fontId="7" fillId="7" borderId="7" xfId="0" applyNumberFormat="1" applyFont="1" applyFill="1" applyBorder="1" applyAlignment="1">
      <x:alignment vertical="top" wrapText="1"/>
    </x:xf>
    <x:xf numFmtId="0" fontId="7" fillId="7" borderId="8" xfId="0" applyNumberFormat="1" applyFont="1" applyFill="1" applyBorder="1" applyAlignment="1">
      <x:alignment vertical="top" wrapText="1"/>
    </x:xf>
    <x:xf numFmtId="0" fontId="7" fillId="7" borderId="9" xfId="0" applyNumberFormat="1" applyFont="1" applyFill="1" applyBorder="1" applyAlignment="1">
      <x:alignment vertical="top" wrapText="1"/>
    </x:xf>
    <x:xf numFmtId="0" fontId="7" fillId="8" borderId="7" xfId="0" applyNumberFormat="1" applyFont="1" applyFill="1" applyBorder="1" applyAlignment="1">
      <x:alignment vertical="top" wrapText="1"/>
    </x:xf>
    <x:xf numFmtId="0" fontId="7" fillId="8" borderId="8" xfId="0" applyNumberFormat="1" applyFont="1" applyFill="1" applyBorder="1" applyAlignment="1">
      <x:alignment vertical="top" wrapText="1"/>
    </x:xf>
    <x:xf numFmtId="0" fontId="7" fillId="8" borderId="9" xfId="0" applyNumberFormat="1" applyFont="1" applyFill="1" applyBorder="1" applyAlignment="1">
      <x:alignment vertical="top" wrapText="1"/>
    </x:xf>
    <x:xf numFmtId="0" fontId="7" fillId="9" borderId="7" xfId="0" applyNumberFormat="1" applyFont="1" applyFill="1" applyBorder="1" applyAlignment="1">
      <x:alignment vertical="top" wrapText="1"/>
    </x:xf>
    <x:xf numFmtId="0" fontId="7" fillId="9" borderId="8" xfId="0" applyNumberFormat="1" applyFont="1" applyFill="1" applyBorder="1" applyAlignment="1">
      <x:alignment vertical="top" wrapText="1"/>
    </x:xf>
    <x:xf numFmtId="0" fontId="7" fillId="9" borderId="9" xfId="0" applyNumberFormat="1" applyFont="1" applyFill="1" applyBorder="1" applyAlignment="1">
      <x:alignment vertical="top" wrapText="1"/>
    </x:xf>
    <x:xf numFmtId="0" fontId="7" fillId="10" borderId="7" xfId="0" applyNumberFormat="1" applyFont="1" applyFill="1" applyBorder="1" applyAlignment="1">
      <x:alignment vertical="top" wrapText="1"/>
    </x:xf>
    <x:xf numFmtId="0" fontId="7" fillId="10" borderId="8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vertical="top" wrapText="1"/>
    </x:xf>
    <x:xf numFmtId="0" fontId="7" fillId="0" borderId="10" xfId="0" applyNumberFormat="1" applyFont="1" applyFill="1" applyBorder="1"/>
    <x:xf numFmtId="0" fontId="7" fillId="0" borderId="10" xfId="0" applyNumberFormat="1" applyFont="1" applyFill="1" applyBorder="1" applyAlignment="1">
      <x:alignment wrapText="1"/>
    </x:xf>
    <x:xf numFmtId="0" fontId="7" fillId="0" borderId="10" xfId="0" applyNumberFormat="1" applyFont="1" applyFill="1" applyBorder="1" applyAlignment="1">
      <x:alignment vertical="top" wrapText="1"/>
    </x:xf>
    <x:xf numFmtId="0" fontId="7" fillId="7" borderId="10" xfId="0" applyNumberFormat="1" applyFont="1" applyFill="1" applyBorder="1" applyAlignment="1">
      <x:alignment vertical="top" wrapText="1"/>
    </x:xf>
    <x:xf numFmtId="0" fontId="7" fillId="9" borderId="10" xfId="0" applyNumberFormat="1" applyFont="1" applyFill="1" applyBorder="1" applyAlignment="1">
      <x:alignment vertical="top" wrapText="1"/>
    </x:xf>
    <x:xf numFmtId="0" fontId="7" fillId="10" borderId="10" xfId="0" applyNumberFormat="1" applyFont="1" applyFill="1" applyBorder="1" applyAlignment="1">
      <x:alignment vertical="top" wrapText="1"/>
    </x:xf>
    <x:xf numFmtId="0" fontId="8" fillId="4" borderId="0" xfId="0" applyNumberFormat="1" applyFont="1" applyFill="1" applyBorder="1"/>
    <x:xf numFmtId="0" fontId="8" fillId="4" borderId="11" xfId="0" applyNumberFormat="1" applyFont="1" applyFill="1" applyBorder="1"/>
    <x:xf numFmtId="0" fontId="8" fillId="4" borderId="12" xfId="0" applyNumberFormat="1" applyFont="1" applyFill="1" applyBorder="1"/>
    <x:xf numFmtId="0" fontId="8" fillId="4" borderId="13" xfId="0" applyNumberFormat="1" applyFont="1" applyFill="1" applyBorder="1"/>
    <x:xf numFmtId="0" fontId="8" fillId="4" borderId="11" xfId="0" applyNumberFormat="1" applyFont="1" applyFill="1" applyBorder="1" applyAlignment="1">
      <x:alignment wrapText="1"/>
    </x:xf>
    <x:xf numFmtId="0" fontId="8" fillId="4" borderId="12" xfId="0" applyNumberFormat="1" applyFont="1" applyFill="1" applyBorder="1" applyAlignment="1">
      <x:alignment wrapText="1"/>
    </x:xf>
    <x:xf numFmtId="0" fontId="8" fillId="4" borderId="13" xfId="0" applyNumberFormat="1" applyFont="1" applyFill="1" applyBorder="1" applyAlignment="1">
      <x:alignment wrapText="1"/>
    </x:xf>
    <x:xf numFmtId="0" fontId="8" fillId="4" borderId="11" xfId="0" applyNumberFormat="1" applyFont="1" applyFill="1" applyBorder="1" applyAlignment="1">
      <x:alignment vertical="center" wrapText="1"/>
    </x:xf>
    <x:xf numFmtId="0" fontId="8" fillId="4" borderId="12" xfId="0" applyNumberFormat="1" applyFont="1" applyFill="1" applyBorder="1" applyAlignment="1">
      <x:alignment vertical="center" wrapText="1"/>
    </x:xf>
    <x:xf numFmtId="0" fontId="8" fillId="4" borderId="13" xfId="0" applyNumberFormat="1" applyFont="1" applyFill="1" applyBorder="1" applyAlignment="1">
      <x:alignment vertical="center" wrapText="1"/>
    </x:xf>
    <x:xf numFmtId="0" fontId="6" fillId="6" borderId="0" xfId="0" applyNumberFormat="1" applyFont="1" applyFill="1" applyBorder="1" applyAlignment="1">
      <x:alignment horizontal="center"/>
    </x:xf>
    <x:xf numFmtId="0" fontId="6" fillId="6" borderId="0" xfId="0" applyNumberFormat="1" applyFont="1" applyFill="1" applyBorder="1" applyAlignment="1">
      <x:alignment horizontal="center" vertical="center"/>
    </x:xf>
    <x:xf numFmtId="0" fontId="9" fillId="5" borderId="0" xfId="0" applyNumberFormat="1" applyFont="1" applyFill="1" applyBorder="1"/>
    <x:xf numFmtId="0" fontId="9" fillId="5" borderId="14" xfId="0" applyNumberFormat="1" applyFont="1" applyFill="1" applyBorder="1"/>
    <x:xf numFmtId="0" fontId="9" fillId="5" borderId="15" xfId="0" applyNumberFormat="1" applyFont="1" applyFill="1" applyBorder="1"/>
    <x:xf numFmtId="0" fontId="9" fillId="5" borderId="16" xfId="0" applyNumberFormat="1" applyFont="1" applyFill="1" applyBorder="1"/>
    <x:xf numFmtId="0" fontId="9" fillId="5" borderId="17" xfId="0" applyNumberFormat="1" applyFont="1" applyFill="1" applyBorder="1"/>
    <x:xf numFmtId="0" fontId="9" fillId="5" borderId="14" xfId="0" applyNumberFormat="1" applyFont="1" applyFill="1" applyBorder="1" applyAlignment="1">
      <x:alignment horizontal="center"/>
    </x:xf>
    <x:xf numFmtId="0" fontId="9" fillId="5" borderId="15" xfId="0" applyNumberFormat="1" applyFont="1" applyFill="1" applyBorder="1" applyAlignment="1">
      <x:alignment horizontal="center"/>
    </x:xf>
    <x:xf numFmtId="0" fontId="9" fillId="5" borderId="16" xfId="0" applyNumberFormat="1" applyFont="1" applyFill="1" applyBorder="1" applyAlignment="1">
      <x:alignment horizontal="center"/>
    </x:xf>
    <x:xf numFmtId="0" fontId="9" fillId="5" borderId="17" xfId="0" applyNumberFormat="1" applyFont="1" applyFill="1" applyBorder="1" applyAlignment="1">
      <x:alignment horizontal="center"/>
    </x:xf>
    <x:xf numFmtId="0" fontId="9" fillId="5" borderId="14" xfId="0" applyNumberFormat="1" applyFont="1" applyFill="1" applyBorder="1" applyAlignment="1">
      <x:alignment horizontal="center" vertical="center"/>
    </x:xf>
    <x:xf numFmtId="0" fontId="9" fillId="5" borderId="15" xfId="0" applyNumberFormat="1" applyFont="1" applyFill="1" applyBorder="1" applyAlignment="1">
      <x:alignment horizontal="center" vertical="center"/>
    </x:xf>
    <x:xf numFmtId="0" fontId="9" fillId="5" borderId="16" xfId="0" applyNumberFormat="1" applyFont="1" applyFill="1" applyBorder="1" applyAlignment="1">
      <x:alignment horizontal="center" vertical="center"/>
    </x:xf>
    <x:xf numFmtId="0" fontId="9" fillId="5" borderId="17" xfId="0" applyNumberFormat="1" applyFont="1" applyFill="1" applyBorder="1" applyAlignment="1">
      <x:alignment horizontal="center" vertical="center"/>
    </x:xf>
    <x:xf numFmtId="0" fontId="7" fillId="0" borderId="7" xfId="0" applyNumberFormat="1" applyFont="1" applyFill="1" applyBorder="1" applyAlignment="1">
      <x:alignment horizontal="center" vertical="top" wrapText="1"/>
    </x:xf>
    <x:xf numFmtId="0" fontId="7" fillId="0" borderId="8" xfId="0" applyNumberFormat="1" applyFont="1" applyFill="1" applyBorder="1" applyAlignment="1">
      <x:alignment horizontal="center" vertical="top" wrapText="1"/>
    </x:xf>
    <x:xf numFmtId="0" fontId="7" fillId="0" borderId="10" xfId="0" applyNumberFormat="1" applyFont="1" applyFill="1" applyBorder="1" applyAlignment="1">
      <x:alignment horizontal="center" vertical="top" wrapText="1"/>
    </x:xf>
    <x:xf numFmtId="200" fontId="7" fillId="0" borderId="7" xfId="0" applyNumberFormat="1" applyFont="1" applyFill="1" applyBorder="1" applyAlignment="1">
      <x:alignment horizontal="center" vertical="top" wrapText="1"/>
    </x:xf>
    <x:xf numFmtId="200" fontId="7" fillId="0" borderId="8" xfId="0" applyNumberFormat="1" applyFont="1" applyFill="1" applyBorder="1" applyAlignment="1">
      <x:alignment horizontal="center" vertical="top" wrapText="1"/>
    </x:xf>
    <x:xf numFmtId="200" fontId="7" fillId="0" borderId="10" xfId="0" applyNumberFormat="1" applyFont="1" applyFill="1" applyBorder="1" applyAlignment="1">
      <x:alignment horizontal="center" vertical="top" wrapText="1"/>
    </x:xf>
    <x:xf numFmtId="0" fontId="10" fillId="2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10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3" borderId="7" xfId="0" applyNumberFormat="1" applyFont="1" applyFill="1" applyBorder="1" applyAlignment="1">
      <x:alignment vertical="top" wrapText="1"/>
    </x:xf>
    <x:xf numFmtId="0" fontId="0" fillId="3" borderId="8" xfId="0" applyNumberFormat="1" applyFont="1" applyFill="1" applyBorder="1" applyAlignment="1">
      <x:alignment vertical="top" wrapText="1"/>
    </x:xf>
    <x:xf numFmtId="0" fontId="0" fillId="3" borderId="10" xfId="0" applyNumberFormat="1" applyFont="1" applyFill="1" applyBorder="1" applyAlignment="1">
      <x:alignment vertical="top" wrapText="1"/>
    </x:xf>
    <x:xf numFmtId="0" fontId="11" fillId="3" borderId="7" xfId="0" applyNumberFormat="1" applyFont="1" applyFill="1" applyBorder="1" applyAlignment="1">
      <x:alignment vertical="top" wrapText="1"/>
    </x:xf>
    <x:xf numFmtId="0" fontId="11" fillId="3" borderId="8" xfId="0" applyNumberFormat="1" applyFont="1" applyFill="1" applyBorder="1" applyAlignment="1">
      <x:alignment vertical="top" wrapText="1"/>
    </x:xf>
    <x:xf numFmtId="0" fontId="11" fillId="3" borderId="10" xfId="0" applyNumberFormat="1" applyFont="1" applyFill="1" applyBorder="1" applyAlignment="1">
      <x:alignment vertical="top" wrapText="1"/>
    </x:xf>
    <x:xf numFmtId="0" fontId="0" fillId="5" borderId="7" xfId="0" applyNumberFormat="1" applyFont="1" applyFill="1" applyBorder="1" applyAlignment="1">
      <x:alignment vertical="top" wrapText="1"/>
    </x:xf>
    <x:xf numFmtId="0" fontId="0" fillId="5" borderId="8" xfId="0" applyNumberFormat="1" applyFont="1" applyFill="1" applyBorder="1" applyAlignment="1">
      <x:alignment vertical="top" wrapText="1"/>
    </x:xf>
    <x:xf numFmtId="0" fontId="0" fillId="5" borderId="10" xfId="0" applyNumberFormat="1" applyFont="1" applyFill="1" applyBorder="1" applyAlignment="1">
      <x:alignment vertical="top" wrapText="1"/>
    </x:xf>
    <x:xf numFmtId="0" fontId="11" fillId="3" borderId="0" xfId="0" applyNumberFormat="1" applyFont="1" applyFill="1" applyBorder="1"/>
    <x:xf numFmtId="0" fontId="11" fillId="3" borderId="14" xfId="0" applyNumberFormat="1" applyFont="1" applyFill="1" applyBorder="1"/>
    <x:xf numFmtId="0" fontId="0" fillId="0" borderId="15" xfId="0" applyNumberFormat="1" applyFont="1" applyFill="1" applyBorder="1"/>
    <x:xf numFmtId="0" fontId="11" fillId="3" borderId="18" xfId="0" applyNumberFormat="1" applyFont="1" applyFill="1" applyBorder="1"/>
    <x:xf numFmtId="0" fontId="0" fillId="0" borderId="19" xfId="0" applyNumberFormat="1" applyFont="1" applyFill="1" applyBorder="1"/>
    <x:xf numFmtId="0" fontId="11" fillId="3" borderId="16" xfId="0" applyNumberFormat="1" applyFont="1" applyFill="1" applyBorder="1"/>
    <x:xf numFmtId="0" fontId="0" fillId="0" borderId="17" xfId="0" applyNumberFormat="1" applyFont="1" applyFill="1" applyBorder="1"/>
    <x:xf numFmtId="201" fontId="0" fillId="0" borderId="17" xfId="0" applyNumberFormat="1" applyFont="1" applyFill="1" applyBorder="1"/>
    <x:xf numFmtId="0" fontId="11" fillId="3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11" fillId="3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11" fillId="3" borderId="16" xfId="0" applyNumberFormat="1" applyFont="1" applyFill="1" applyBorder="1" applyAlignment="1">
      <x:alignment wrapText="1"/>
    </x:xf>
    <x:xf numFmtId="201" fontId="0" fillId="0" borderId="17" xfId="0" applyNumberFormat="1" applyFont="1" applyFill="1" applyBorder="1" applyAlignment="1">
      <x:alignment wrapText="1"/>
    </x:xf>
    <x:xf numFmtId="0" fontId="12" fillId="2" borderId="0" xfId="0" applyNumberFormat="1" applyFont="1" applyFill="1" applyBorder="1" applyAlignment="1">
      <x:alignment vertical="center"/>
    </x:xf>
    <x:xf numFmtId="0" fontId="13" fillId="3" borderId="0" xfId="0" applyNumberFormat="1" applyFont="1" applyFill="1" applyBorder="1" applyAlignment="1">
      <x:alignment vertical="center" wrapText="1"/>
    </x:xf>
    <x:xf numFmtId="0" fontId="14" fillId="0" borderId="0" xfId="0" applyNumberFormat="1" applyFont="1" applyFill="1" applyBorder="1"/>
    <x:xf numFmtId="0" fontId="15" fillId="4" borderId="11" xfId="0" applyNumberFormat="1" applyFont="1" applyFill="1" applyBorder="1" applyAlignment="1">
      <x:alignment vertical="center" wrapText="1"/>
    </x:xf>
    <x:xf numFmtId="0" fontId="15" fillId="4" borderId="12" xfId="0" applyNumberFormat="1" applyFont="1" applyFill="1" applyBorder="1" applyAlignment="1">
      <x:alignment vertical="center" wrapText="1"/>
    </x:xf>
    <x:xf numFmtId="0" fontId="15" fillId="4" borderId="13" xfId="0" applyNumberFormat="1" applyFont="1" applyFill="1" applyBorder="1" applyAlignment="1">
      <x:alignment vertical="center" wrapText="1"/>
    </x:xf>
    <x:xf numFmtId="0" fontId="16" fillId="6" borderId="0" xfId="0" applyNumberFormat="1" applyFont="1" applyFill="1" applyBorder="1" applyAlignment="1">
      <x:alignment horizontal="center" vertical="center"/>
    </x:xf>
    <x:xf numFmtId="0" fontId="17" fillId="5" borderId="14" xfId="0" applyNumberFormat="1" applyFont="1" applyFill="1" applyBorder="1" applyAlignment="1">
      <x:alignment horizontal="center" vertical="center"/>
    </x:xf>
    <x:xf numFmtId="0" fontId="17" fillId="5" borderId="15" xfId="0" applyNumberFormat="1" applyFont="1" applyFill="1" applyBorder="1" applyAlignment="1">
      <x:alignment horizontal="center" vertical="center"/>
    </x:xf>
    <x:xf numFmtId="0" fontId="17" fillId="5" borderId="16" xfId="0" applyNumberFormat="1" applyFont="1" applyFill="1" applyBorder="1" applyAlignment="1">
      <x:alignment horizontal="center" vertical="center"/>
    </x:xf>
    <x:xf numFmtId="0" fontId="17" fillId="5" borderId="17" xfId="0" applyNumberFormat="1" applyFont="1" applyFill="1" applyBorder="1" applyAlignment="1">
      <x:alignment horizontal="center" vertical="center"/>
    </x:xf>
    <x:xf numFmtId="0" fontId="16" fillId="6" borderId="4" xfId="0" applyNumberFormat="1" applyFont="1" applyFill="1" applyBorder="1" applyAlignment="1">
      <x:alignment horizontal="center" vertical="center" wrapText="1"/>
    </x:xf>
    <x:xf numFmtId="0" fontId="16" fillId="6" borderId="5" xfId="0" applyNumberFormat="1" applyFont="1" applyFill="1" applyBorder="1" applyAlignment="1">
      <x:alignment horizontal="center" vertical="center" wrapText="1"/>
    </x:xf>
    <x:xf numFmtId="0" fontId="16" fillId="6" borderId="6" xfId="0" applyNumberFormat="1" applyFont="1" applyFill="1" applyBorder="1" applyAlignment="1">
      <x:alignment horizontal="center" vertical="center" wrapText="1"/>
    </x:xf>
    <x:xf numFmtId="0" fontId="18" fillId="0" borderId="7" xfId="0" applyNumberFormat="1" applyFont="1" applyFill="1" applyBorder="1" applyAlignment="1">
      <x:alignment vertical="top" wrapText="1"/>
    </x:xf>
    <x:xf numFmtId="200" fontId="18" fillId="0" borderId="7" xfId="0" applyNumberFormat="1" applyFont="1" applyFill="1" applyBorder="1" applyAlignment="1">
      <x:alignment horizontal="center" vertical="top" wrapText="1"/>
    </x:xf>
    <x:xf numFmtId="0" fontId="18" fillId="0" borderId="8" xfId="0" applyNumberFormat="1" applyFont="1" applyFill="1" applyBorder="1" applyAlignment="1">
      <x:alignment vertical="top" wrapText="1"/>
    </x:xf>
    <x:xf numFmtId="200" fontId="18" fillId="0" borderId="8" xfId="0" applyNumberFormat="1" applyFont="1" applyFill="1" applyBorder="1" applyAlignment="1">
      <x:alignment horizontal="center" vertical="top" wrapText="1"/>
    </x:xf>
    <x:xf numFmtId="0" fontId="18" fillId="0" borderId="10" xfId="0" applyNumberFormat="1" applyFont="1" applyFill="1" applyBorder="1" applyAlignment="1">
      <x:alignment vertical="top" wrapText="1"/>
    </x:xf>
    <x:xf numFmtId="200" fontId="18" fillId="0" borderId="10" xfId="0" applyNumberFormat="1" applyFont="1" applyFill="1" applyBorder="1" applyAlignment="1">
      <x:alignment horizontal="center" vertical="top" wrapText="1"/>
    </x:xf>
    <x:xf numFmtId="0" fontId="19" fillId="2" borderId="0" xfId="0" applyNumberFormat="1" applyFont="1" applyFill="1" applyBorder="1"/>
    <x:xf numFmtId="0" fontId="20" fillId="3" borderId="7" xfId="0" applyNumberFormat="1" applyFont="1" applyFill="1" applyBorder="1" applyAlignment="1">
      <x:alignment vertical="top" wrapText="1"/>
    </x:xf>
    <x:xf numFmtId="0" fontId="14" fillId="5" borderId="7" xfId="0" applyNumberFormat="1" applyFont="1" applyFill="1" applyBorder="1" applyAlignment="1">
      <x:alignment vertical="top" wrapText="1"/>
    </x:xf>
    <x:xf numFmtId="0" fontId="20" fillId="3" borderId="8" xfId="0" applyNumberFormat="1" applyFont="1" applyFill="1" applyBorder="1" applyAlignment="1">
      <x:alignment vertical="top" wrapText="1"/>
    </x:xf>
    <x:xf numFmtId="0" fontId="14" fillId="5" borderId="8" xfId="0" applyNumberFormat="1" applyFont="1" applyFill="1" applyBorder="1" applyAlignment="1">
      <x:alignment vertical="top" wrapText="1"/>
    </x:xf>
    <x:xf numFmtId="0" fontId="20" fillId="3" borderId="10" xfId="0" applyNumberFormat="1" applyFont="1" applyFill="1" applyBorder="1" applyAlignment="1">
      <x:alignment vertical="top" wrapText="1"/>
    </x:xf>
    <x:xf numFmtId="0" fontId="14" fillId="5" borderId="10" xfId="0" applyNumberFormat="1" applyFont="1" applyFill="1" applyBorder="1" applyAlignment="1">
      <x:alignment vertical="top" wrapText="1"/>
    </x:xf>
    <x:xf numFmtId="0" fontId="20" fillId="3" borderId="14" xfId="0" applyNumberFormat="1" applyFont="1" applyFill="1" applyBorder="1" applyAlignment="1">
      <x:alignment wrapText="1"/>
    </x:xf>
    <x:xf numFmtId="0" fontId="14" fillId="0" borderId="15" xfId="0" applyNumberFormat="1" applyFont="1" applyFill="1" applyBorder="1" applyAlignment="1">
      <x:alignment wrapText="1"/>
    </x:xf>
    <x:xf numFmtId="0" fontId="20" fillId="3" borderId="18" xfId="0" applyNumberFormat="1" applyFont="1" applyFill="1" applyBorder="1" applyAlignment="1">
      <x:alignment wrapText="1"/>
    </x:xf>
    <x:xf numFmtId="0" fontId="14" fillId="0" borderId="19" xfId="0" applyNumberFormat="1" applyFont="1" applyFill="1" applyBorder="1" applyAlignment="1">
      <x:alignment wrapText="1"/>
    </x:xf>
    <x:xf numFmtId="0" fontId="20" fillId="3" borderId="16" xfId="0" applyNumberFormat="1" applyFont="1" applyFill="1" applyBorder="1" applyAlignment="1">
      <x:alignment wrapText="1"/>
    </x:xf>
    <x:xf numFmtId="201" fontId="14" fillId="0" borderId="17" xfId="0" applyNumberFormat="1" applyFont="1" applyFill="1" applyBorder="1" applyAlignment="1">
      <x:alignment wrapText="1"/>
    </x:xf>
    <x:xf numFmtId="0" fontId="21" fillId="4" borderId="0" xfId="0" applyNumberFormat="1" applyFont="1" applyFill="1" applyBorder="1" applyAlignment="1">
      <x:alignment vertical="center" wrapText="1"/>
    </x:xf>
    <x:xf numFmtId="0" fontId="18" fillId="7" borderId="7" xfId="0" applyNumberFormat="1" applyFont="1" applyFill="1" applyBorder="1" applyAlignment="1">
      <x:alignment vertical="top" wrapText="1"/>
    </x:xf>
    <x:xf numFmtId="0" fontId="18" fillId="9" borderId="7" xfId="0" applyNumberFormat="1" applyFont="1" applyFill="1" applyBorder="1" applyAlignment="1">
      <x:alignment vertical="top" wrapText="1"/>
    </x:xf>
    <x:xf numFmtId="0" fontId="18" fillId="10" borderId="7" xfId="0" applyNumberFormat="1" applyFont="1" applyFill="1" applyBorder="1" applyAlignment="1">
      <x:alignment vertical="top" wrapText="1"/>
    </x:xf>
    <x:xf numFmtId="0" fontId="18" fillId="7" borderId="8" xfId="0" applyNumberFormat="1" applyFont="1" applyFill="1" applyBorder="1" applyAlignment="1">
      <x:alignment vertical="top" wrapText="1"/>
    </x:xf>
    <x:xf numFmtId="0" fontId="18" fillId="9" borderId="8" xfId="0" applyNumberFormat="1" applyFont="1" applyFill="1" applyBorder="1" applyAlignment="1">
      <x:alignment vertical="top" wrapText="1"/>
    </x:xf>
    <x:xf numFmtId="0" fontId="18" fillId="10" borderId="8" xfId="0" applyNumberFormat="1" applyFont="1" applyFill="1" applyBorder="1" applyAlignment="1">
      <x:alignment vertical="top" wrapText="1"/>
    </x:xf>
    <x:xf numFmtId="0" fontId="18" fillId="7" borderId="10" xfId="0" applyNumberFormat="1" applyFont="1" applyFill="1" applyBorder="1" applyAlignment="1">
      <x:alignment vertical="top" wrapText="1"/>
    </x:xf>
    <x:xf numFmtId="0" fontId="18" fillId="9" borderId="10" xfId="0" applyNumberFormat="1" applyFont="1" applyFill="1" applyBorder="1" applyAlignment="1">
      <x:alignment vertical="top" wrapText="1"/>
    </x:xf>
    <x:xf numFmtId="0" fontId="18" fillId="10" borderId="10" xfId="0" applyNumberFormat="1" applyFont="1" applyFill="1" applyBorder="1" applyAlignment="1">
      <x:alignment vertical="top" wrapText="1"/>
    </x:xf>
    <x:xf numFmtId="0" fontId="22" fillId="5" borderId="1" xfId="0" applyNumberFormat="1" applyFont="1" applyFill="1" applyBorder="1" applyAlignment="1">
      <x:alignment vertical="center" wrapText="1"/>
    </x:xf>
    <x:xf numFmtId="0" fontId="23" fillId="5" borderId="2" xfId="0" applyNumberFormat="1" applyFont="1" applyFill="1" applyBorder="1" applyAlignment="1">
      <x:alignment vertical="center" wrapText="1"/>
    </x:xf>
    <x:xf numFmtId="0" fontId="22" fillId="5" borderId="2" xfId="0" applyNumberFormat="1" applyFont="1" applyFill="1" applyBorder="1" applyAlignment="1">
      <x:alignment vertical="center" wrapText="1"/>
    </x:xf>
    <x:xf numFmtId="0" fontId="23" fillId="5" borderId="3" xfId="0" applyNumberFormat="1" applyFont="1" applyFill="1" applyBorder="1" applyAlignment="1">
      <x:alignment vertical="center" wrapText="1"/>
    </x:xf>
    <x:xf numFmtId="0" fontId="18" fillId="8" borderId="7" xfId="0" applyNumberFormat="1" applyFont="1" applyFill="1" applyBorder="1" applyAlignment="1">
      <x:alignment vertical="top" wrapText="1"/>
    </x:xf>
    <x:xf numFmtId="0" fontId="18" fillId="8" borderId="8" xfId="0" applyNumberFormat="1" applyFont="1" applyFill="1" applyBorder="1" applyAlignment="1">
      <x:alignment vertical="top" wrapText="1"/>
    </x:xf>
    <x:xf numFmtId="0" fontId="18" fillId="7" borderId="9" xfId="0" applyNumberFormat="1" applyFont="1" applyFill="1" applyBorder="1" applyAlignment="1">
      <x:alignment vertical="top" wrapText="1"/>
    </x:xf>
    <x:xf numFmtId="0" fontId="18" fillId="0" borderId="9" xfId="0" applyNumberFormat="1" applyFont="1" applyFill="1" applyBorder="1" applyAlignment="1">
      <x:alignment vertical="top" wrapText="1"/>
    </x:xf>
    <x:xf numFmtId="0" fontId="18" fillId="8" borderId="9" xfId="0" applyNumberFormat="1" applyFont="1" applyFill="1" applyBorder="1" applyAlignment="1">
      <x:alignment vertical="top" wrapText="1"/>
    </x:xf>
    <x:xf numFmtId="0" fontId="18" fillId="9" borderId="9" xfId="0" applyNumberFormat="1" applyFont="1" applyFill="1" applyBorder="1" applyAlignment="1">
      <x:alignment vertical="top" wrapText="1"/>
    </x:xf>
    <x:xf numFmtId="0" fontId="18" fillId="10" borderId="9" xfId="0" applyNumberFormat="1" applyFont="1" applyFill="1" applyBorder="1" applyAlignment="1">
      <x:alignment vertical="top" wrapText="1"/>
    </x:xf>
  </x:cellXfs>
  <x:cellStyles count="1">
    <x:cellStyle name="Normal" xfId="0"/>
  </x:cellStyles>
  <x:dxfs count="90">
    <x:dxf>
      <x:font>
        <x:b/>
        <x:color rgb="FF8B0000"/>
      </x:font>
      <x:fill>
        <x:patternFill patternType="solid">
          <x:bgColor rgb="FFF4CCCC"/>
        </x:patternFill>
      </x:fill>
    </x:dxf>
    <x:dxf>
      <x:font>
        <x:b/>
        <x:color rgb="FF9C5700"/>
      </x:font>
      <x:fill>
        <x:patternFill patternType="solid">
          <x:bgColor rgb="FFFCE5CD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color rgb="FF5B2C6F"/>
      </x:font>
      <x:fill>
        <x:patternFill patternType="solid">
          <x:bgColor rgb="FFEADCF8"/>
        </x:patternFill>
      </x:fill>
    </x:dxf>
    <x:dxf>
      <x:font>
        <x:i/>
        <x:color rgb="FF44546A"/>
      </x:font>
      <x:fill>
        <x:patternFill patternType="solid">
          <x:bgColor rgb="FFE7EAED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8B0000"/>
      </x:font>
      <x:fill>
        <x:patternFill patternType="solid">
          <x:bgColor rgb="FFF4CCCC"/>
        </x:patternFill>
      </x:fill>
    </x:dxf>
    <x:dxf>
      <x:font>
        <x:b/>
        <x:color rgb="FF9C5700"/>
      </x:font>
      <x:fill>
        <x:patternFill patternType="solid">
          <x:bgColor rgb="FFFCE5CD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b/>
        <x:color rgb="FF8B0000"/>
      </x:font>
      <x:fill>
        <x:patternFill patternType="solid">
          <x:bgColor rgb="FFF4CCCC"/>
        </x:patternFill>
      </x:fill>
    </x:dxf>
    <x:dxf>
      <x:font>
        <x:b/>
        <x:color rgb="FF9C5700"/>
      </x:font>
      <x:fill>
        <x:patternFill patternType="solid">
          <x:bgColor rgb="FFFCE5CD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color rgb="FF5B2C6F"/>
      </x:font>
      <x:fill>
        <x:patternFill patternType="solid">
          <x:bgColor rgb="FFEADCF8"/>
        </x:patternFill>
      </x:fill>
    </x:dxf>
    <x:dxf>
      <x:font>
        <x:i/>
        <x:color rgb="FF44546A"/>
      </x:font>
      <x:fill>
        <x:patternFill patternType="solid">
          <x:bgColor rgb="FFE7EAED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8B0000"/>
      </x:font>
      <x:fill>
        <x:patternFill patternType="solid">
          <x:bgColor rgb="FFF4CCCC"/>
        </x:patternFill>
      </x:fill>
    </x:dxf>
    <x:dxf>
      <x:font>
        <x:b/>
        <x:color rgb="FF9C5700"/>
      </x:font>
      <x:fill>
        <x:patternFill patternType="solid">
          <x:bgColor rgb="FFFCE5CD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b/>
        <x:color rgb="FF8B0000"/>
      </x:font>
      <x:fill>
        <x:patternFill patternType="solid">
          <x:bgColor rgb="FFF4CCCC"/>
        </x:patternFill>
      </x:fill>
    </x:dxf>
    <x:dxf>
      <x:font>
        <x:b/>
        <x:color rgb="FF9C5700"/>
      </x:font>
      <x:fill>
        <x:patternFill patternType="solid">
          <x:bgColor rgb="FFFCE5CD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color rgb="FF5B2C6F"/>
      </x:font>
      <x:fill>
        <x:patternFill patternType="solid">
          <x:bgColor rgb="FFEADCF8"/>
        </x:patternFill>
      </x:fill>
    </x:dxf>
    <x:dxf>
      <x:font>
        <x:i/>
        <x:color rgb="FF44546A"/>
      </x:font>
      <x:fill>
        <x:patternFill patternType="solid">
          <x:bgColor rgb="FFE7EAED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8B0000"/>
      </x:font>
      <x:fill>
        <x:patternFill patternType="solid">
          <x:bgColor rgb="FFF4CCCC"/>
        </x:patternFill>
      </x:fill>
    </x:dxf>
    <x:dxf>
      <x:font>
        <x:b/>
        <x:color rgb="FF9C5700"/>
      </x:font>
      <x:fill>
        <x:patternFill patternType="solid">
          <x:bgColor rgb="FFFCE5CD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b/>
        <x:color rgb="FF8B0000"/>
      </x:font>
      <x:fill>
        <x:patternFill patternType="solid">
          <x:bgColor rgb="FFF4CCCC"/>
        </x:patternFill>
      </x:fill>
    </x:dxf>
    <x:dxf>
      <x:font>
        <x:b/>
        <x:color rgb="FF9C5700"/>
      </x:font>
      <x:fill>
        <x:patternFill patternType="solid">
          <x:bgColor rgb="FFFCE5CD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color rgb="FF5B2C6F"/>
      </x:font>
      <x:fill>
        <x:patternFill patternType="solid">
          <x:bgColor rgb="FFEADCF8"/>
        </x:patternFill>
      </x:fill>
    </x:dxf>
    <x:dxf>
      <x:font>
        <x:i/>
        <x:color rgb="FF44546A"/>
      </x:font>
      <x:fill>
        <x:patternFill patternType="solid">
          <x:bgColor rgb="FFE7EAED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8B0000"/>
      </x:font>
      <x:fill>
        <x:patternFill patternType="solid">
          <x:bgColor rgb="FFF4CCCC"/>
        </x:patternFill>
      </x:fill>
    </x:dxf>
    <x:dxf>
      <x:font>
        <x:b/>
        <x:color rgb="FF9C5700"/>
      </x:font>
      <x:fill>
        <x:patternFill patternType="solid">
          <x:bgColor rgb="FFFCE5CD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b/>
        <x:color rgb="FF8B0000"/>
      </x:font>
      <x:fill>
        <x:patternFill patternType="solid">
          <x:bgColor rgb="FFF4CCCC"/>
        </x:patternFill>
      </x:fill>
    </x:dxf>
    <x:dxf>
      <x:font>
        <x:b/>
        <x:color rgb="FF9C5700"/>
      </x:font>
      <x:fill>
        <x:patternFill patternType="solid">
          <x:bgColor rgb="FFFCE5CD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color rgb="FF5B2C6F"/>
      </x:font>
      <x:fill>
        <x:patternFill patternType="solid">
          <x:bgColor rgb="FFEADCF8"/>
        </x:patternFill>
      </x:fill>
    </x:dxf>
    <x:dxf>
      <x:font>
        <x:i/>
        <x:color rgb="FF44546A"/>
      </x:font>
      <x:fill>
        <x:patternFill patternType="solid">
          <x:bgColor rgb="FFE7EAED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8B0000"/>
      </x:font>
      <x:fill>
        <x:patternFill patternType="solid">
          <x:bgColor rgb="FFF4CCCC"/>
        </x:patternFill>
      </x:fill>
    </x:dxf>
    <x:dxf>
      <x:font>
        <x:b/>
        <x:color rgb="FF9C5700"/>
      </x:font>
      <x:fill>
        <x:patternFill patternType="solid">
          <x:bgColor rgb="FFFCE5CD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b/>
        <x:color rgb="FF8B0000"/>
      </x:font>
      <x:fill>
        <x:patternFill patternType="solid">
          <x:bgColor rgb="FFF4CCCC"/>
        </x:patternFill>
      </x:fill>
    </x:dxf>
    <x:dxf>
      <x:font>
        <x:b/>
        <x:color rgb="FF9C5700"/>
      </x:font>
      <x:fill>
        <x:patternFill patternType="solid">
          <x:bgColor rgb="FFFCE5CD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color rgb="FF5B2C6F"/>
      </x:font>
      <x:fill>
        <x:patternFill patternType="solid">
          <x:bgColor rgb="FFEADCF8"/>
        </x:patternFill>
      </x:fill>
    </x:dxf>
    <x:dxf>
      <x:font>
        <x:i/>
        <x:color rgb="FF44546A"/>
      </x:font>
      <x:fill>
        <x:patternFill patternType="solid">
          <x:bgColor rgb="FFE7EAED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8B0000"/>
      </x:font>
      <x:fill>
        <x:patternFill patternType="solid">
          <x:bgColor rgb="FFF4CCCC"/>
        </x:patternFill>
      </x:fill>
    </x:dxf>
    <x:dxf>
      <x:font>
        <x:b/>
        <x:color rgb="FF9C5700"/>
      </x:font>
      <x:fill>
        <x:patternFill patternType="solid">
          <x:bgColor rgb="FFFCE5CD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b/>
        <x:color rgb="FF8B0000"/>
      </x:font>
      <x:fill>
        <x:patternFill patternType="solid">
          <x:bgColor rgb="FFF4CCCC"/>
        </x:patternFill>
      </x:fill>
    </x:dxf>
    <x:dxf>
      <x:font>
        <x:b/>
        <x:color rgb="FF9C5700"/>
      </x:font>
      <x:fill>
        <x:patternFill patternType="solid">
          <x:bgColor rgb="FFFCE5CD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color rgb="FF5B2C6F"/>
      </x:font>
      <x:fill>
        <x:patternFill patternType="solid">
          <x:bgColor rgb="FFEADCF8"/>
        </x:patternFill>
      </x:fill>
    </x:dxf>
    <x:dxf>
      <x:font>
        <x:i/>
        <x:color rgb="FF44546A"/>
      </x:font>
      <x:fill>
        <x:patternFill patternType="solid">
          <x:bgColor rgb="FFE7EAED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8B0000"/>
      </x:font>
      <x:fill>
        <x:patternFill patternType="solid">
          <x:bgColor rgb="FFF4CCCC"/>
        </x:patternFill>
      </x:fill>
    </x:dxf>
    <x:dxf>
      <x:font>
        <x:b/>
        <x:color rgb="FF9C5700"/>
      </x:font>
      <x:fill>
        <x:patternFill patternType="solid">
          <x:bgColor rgb="FFFCE5CD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b/>
        <x:color rgb="FF8B0000"/>
      </x:font>
      <x:fill>
        <x:patternFill patternType="solid">
          <x:bgColor rgb="FFF4CCCC"/>
        </x:patternFill>
      </x:fill>
    </x:dxf>
    <x:dxf>
      <x:font>
        <x:b/>
        <x:color rgb="FF9C5700"/>
      </x:font>
      <x:fill>
        <x:patternFill patternType="solid">
          <x:bgColor rgb="FFFCE5CD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color rgb="FF5B2C6F"/>
      </x:font>
      <x:fill>
        <x:patternFill patternType="solid">
          <x:bgColor rgb="FFEADCF8"/>
        </x:patternFill>
      </x:fill>
    </x:dxf>
    <x:dxf>
      <x:font>
        <x:i/>
        <x:color rgb="FF44546A"/>
      </x:font>
      <x:fill>
        <x:patternFill patternType="solid">
          <x:bgColor rgb="FFE7EAED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8B0000"/>
      </x:font>
      <x:fill>
        <x:patternFill patternType="solid">
          <x:bgColor rgb="FFF4CCCC"/>
        </x:patternFill>
      </x:fill>
    </x:dxf>
    <x:dxf>
      <x:font>
        <x:b/>
        <x:color rgb="FF9C5700"/>
      </x:font>
      <x:fill>
        <x:patternFill patternType="solid">
          <x:bgColor rgb="FFFCE5CD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b/>
        <x:color rgb="FF8B0000"/>
      </x:font>
      <x:fill>
        <x:patternFill patternType="solid">
          <x:bgColor rgb="FFF4CCCC"/>
        </x:patternFill>
      </x:fill>
    </x:dxf>
    <x:dxf>
      <x:font>
        <x:b/>
        <x:color rgb="FF9C5700"/>
      </x:font>
      <x:fill>
        <x:patternFill patternType="solid">
          <x:bgColor rgb="FFFCE5CD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color rgb="FF5B2C6F"/>
      </x:font>
      <x:fill>
        <x:patternFill patternType="solid">
          <x:bgColor rgb="FFEADCF8"/>
        </x:patternFill>
      </x:fill>
    </x:dxf>
    <x:dxf>
      <x:font>
        <x:i/>
        <x:color rgb="FF44546A"/>
      </x:font>
      <x:fill>
        <x:patternFill patternType="solid">
          <x:bgColor rgb="FFE7EAED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8B0000"/>
      </x:font>
      <x:fill>
        <x:patternFill patternType="solid">
          <x:bgColor rgb="FFF4CCCC"/>
        </x:patternFill>
      </x:fill>
    </x:dxf>
    <x:dxf>
      <x:font>
        <x:b/>
        <x:color rgb="FF9C5700"/>
      </x:font>
      <x:fill>
        <x:patternFill patternType="solid">
          <x:bgColor rgb="FFFCE5CD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075713f71545d0" /><Relationship Type="http://schemas.openxmlformats.org/officeDocument/2006/relationships/theme" Target="/xl/theme/theme1.xml" Id="R5def708c374d4516" /><Relationship Type="http://schemas.openxmlformats.org/officeDocument/2006/relationships/sharedStrings" Target="/xl/sharedStrings.xml" Id="R47dd440d4d6846b2" /><Relationship Type="http://schemas.openxmlformats.org/officeDocument/2006/relationships/worksheet" Target="/xl/worksheets/sheet1.xml" Id="R4221c4e5a60d424d" /><Relationship Type="http://schemas.openxmlformats.org/officeDocument/2006/relationships/worksheet" Target="/xl/worksheets/sheet2.xml" Id="R518ecd9702bd4019" /><Relationship Type="http://schemas.openxmlformats.org/officeDocument/2006/relationships/worksheet" Target="/xl/worksheets/sheet3.xml" Id="R74891af07a6a4960" /><Relationship Type="http://schemas.openxmlformats.org/officeDocument/2006/relationships/worksheet" Target="/xl/worksheets/sheet4.xml" Id="R15a4773124d34e77" /><Relationship Type="http://schemas.openxmlformats.org/officeDocument/2006/relationships/worksheet" Target="/xl/worksheets/sheet5.xml" Id="Rdd97201c4dc54e54" /><Relationship Type="http://schemas.openxmlformats.org/officeDocument/2006/relationships/worksheet" Target="/xl/worksheets/sheet6.xml" Id="R40ef2484dd8b4dd7" /><Relationship Type="http://schemas.openxmlformats.org/officeDocument/2006/relationships/worksheet" Target="/xl/worksheets/sheet7.xml" Id="R9ea5d57426da4526" /><Relationship Type="http://schemas.openxmlformats.org/officeDocument/2006/relationships/worksheet" Target="/xl/worksheets/sheet8.xml" Id="Rfff0063b2d35432b" /><Relationship Type="http://schemas.openxmlformats.org/officeDocument/2006/relationships/worksheet" Target="/xl/worksheets/sheet9.xml" Id="Rd65b3f1ba6f34f99" /><Relationship Type="http://schemas.openxmlformats.org/officeDocument/2006/relationships/worksheet" Target="/xl/worksheets/sheet10.xml" Id="Rb8f5ab50a13c457f" /><Relationship Type="http://schemas.microsoft.com/office/2017/10/relationships/person" Target="/xl/persons/person.xml" Id="R02677d4d87f04c3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5e44b22300547b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Current Deliverables by Phase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Phase name</c:v>
          </c:tx>
          <c:cat>
            <c:strRef>
              <c:f>'Overview'!$A$12:$A$19</c:f>
              <c:strCache>
                <c:ptCount val="0"/>
              </c:strCache>
            </c:strRef>
          </c:cat>
          <c:val>
            <c:numRef>
              <c:f>'Overview'!$B$12:$B$19</c:f>
              <c:numCache>
                <c:formatCode>0</c:formatCode>
                <c:ptCount val="0"/>
              </c:numCache>
            </c:numRef>
          </c:val>
        </c:ser>
        <c:ser>
          <c:idx val="1"/>
          <c:order val="1"/>
          <c:tx>
            <c:v>Current deliverables</c:v>
          </c:tx>
          <c:cat>
            <c:strRef>
              <c:f>'Overview'!$A$12:$A$19</c:f>
              <c:strCache>
                <c:ptCount val="0"/>
              </c:strCache>
            </c:strRef>
          </c:cat>
          <c:val>
            <c:numRef>
              <c:f>'Overview'!$C$12:$C$19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10</xdr:row>
      <xdr:rowOff>0</xdr:rowOff>
    </xdr:from>
    <xdr:to>
      <xdr:col>13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5e44b22300547bc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Nigist Mamo" id="{BD25A763-F382-41E2-86D2-1FAC5364FB38}"/>
</xltc:personList>
</file>

<file path=xl/tables/table1.xml><?xml version="1.0" encoding="utf-8"?>
<x:table xmlns:x="http://schemas.openxmlformats.org/spreadsheetml/2006/main" id="10" name="PhaseSummaryTable" displayName="PhaseSummaryTable" ref="A11:F19" headerRowCount="1" totalsRowCount="0" totalsRowShown="0">
  <x:tableColumns count="6">
    <x:tableColumn id="1" name="Phase"/>
    <x:tableColumn id="2" name="Phase name"/>
    <x:tableColumn id="3" name="Current deliverables"/>
    <x:tableColumn id="4" name="Requested deliverables"/>
    <x:tableColumn id="5" name="Recommended priority"/>
    <x:tableColumn id="6" name="Dependency summar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9" name="AllDeliverablesTable" displayName="AllDeliverablesTable" ref="A5:M110" headerRowCount="1" totalsRowCount="0" totalsRowShown="0">
  <x:autoFilter ref="A5:M110"/>
  <x:tableColumns count="13">
    <x:tableColumn id="1" name="Item ID"/>
    <x:tableColumn id="2" name="Current Phase"/>
    <x:tableColumn id="3" name="Phase Name"/>
    <x:tableColumn id="4" name="What users will be able to do"/>
    <x:tableColumn id="5" name="Expected outcome"/>
    <x:tableColumn id="6" name="Primary role(s)"/>
    <x:tableColumn id="7" name="Recommended priority"/>
    <x:tableColumn id="8" name="Client priority"/>
    <x:tableColumn id="9" name="Requested phase"/>
    <x:tableColumn id="10" name="Dependency / sequencing note"/>
    <x:tableColumn id="11" name="Client decision"/>
    <x:tableColumn id="12" name="Project team review"/>
    <x:tableColumn id="13" name="Client comment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1" name="Phase1Deliverables" displayName="Phase1Deliverables" ref="A6:M27" headerRowCount="1" totalsRowCount="0" totalsRowShown="0">
  <x:autoFilter ref="A6:M27"/>
  <x:tableColumns count="13">
    <x:tableColumn id="1" name="Item ID"/>
    <x:tableColumn id="2" name="Current Phase"/>
    <x:tableColumn id="3" name="Phase Name"/>
    <x:tableColumn id="4" name="What users will be able to do"/>
    <x:tableColumn id="5" name="Expected outcome"/>
    <x:tableColumn id="6" name="Primary role(s)"/>
    <x:tableColumn id="7" name="Recommended priority"/>
    <x:tableColumn id="8" name="Client priority"/>
    <x:tableColumn id="9" name="Requested phase"/>
    <x:tableColumn id="10" name="Dependency / sequencing note"/>
    <x:tableColumn id="11" name="Client decision"/>
    <x:tableColumn id="12" name="Project team review"/>
    <x:tableColumn id="13" name="Client comment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2" name="Phase2Deliverables" displayName="Phase2Deliverables" ref="A6:M26" headerRowCount="1" totalsRowCount="0" totalsRowShown="0">
  <x:autoFilter ref="A6:M26"/>
  <x:tableColumns count="13">
    <x:tableColumn id="1" name="Item ID"/>
    <x:tableColumn id="2" name="Current Phase"/>
    <x:tableColumn id="3" name="Phase Name"/>
    <x:tableColumn id="4" name="What users will be able to do"/>
    <x:tableColumn id="5" name="Expected outcome"/>
    <x:tableColumn id="6" name="Primary role(s)"/>
    <x:tableColumn id="7" name="Recommended priority"/>
    <x:tableColumn id="8" name="Client priority"/>
    <x:tableColumn id="9" name="Requested phase"/>
    <x:tableColumn id="10" name="Dependency / sequencing note"/>
    <x:tableColumn id="11" name="Client decision"/>
    <x:tableColumn id="12" name="Project team review"/>
    <x:tableColumn id="13" name="Client comment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3" name="Phase3Deliverables" displayName="Phase3Deliverables" ref="A6:M17" headerRowCount="1" totalsRowCount="0" totalsRowShown="0">
  <x:autoFilter ref="A6:M17"/>
  <x:tableColumns count="13">
    <x:tableColumn id="1" name="Item ID"/>
    <x:tableColumn id="2" name="Current Phase"/>
    <x:tableColumn id="3" name="Phase Name"/>
    <x:tableColumn id="4" name="What users will be able to do"/>
    <x:tableColumn id="5" name="Expected outcome"/>
    <x:tableColumn id="6" name="Primary role(s)"/>
    <x:tableColumn id="7" name="Recommended priority"/>
    <x:tableColumn id="8" name="Client priority"/>
    <x:tableColumn id="9" name="Requested phase"/>
    <x:tableColumn id="10" name="Dependency / sequencing note"/>
    <x:tableColumn id="11" name="Client decision"/>
    <x:tableColumn id="12" name="Project team review"/>
    <x:tableColumn id="13" name="Client comment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4" name="Phase4Deliverables" displayName="Phase4Deliverables" ref="A6:M15" headerRowCount="1" totalsRowCount="0" totalsRowShown="0">
  <x:autoFilter ref="A6:M15"/>
  <x:tableColumns count="13">
    <x:tableColumn id="1" name="Item ID"/>
    <x:tableColumn id="2" name="Current Phase"/>
    <x:tableColumn id="3" name="Phase Name"/>
    <x:tableColumn id="4" name="What users will be able to do"/>
    <x:tableColumn id="5" name="Expected outcome"/>
    <x:tableColumn id="6" name="Primary role(s)"/>
    <x:tableColumn id="7" name="Recommended priority"/>
    <x:tableColumn id="8" name="Client priority"/>
    <x:tableColumn id="9" name="Requested phase"/>
    <x:tableColumn id="10" name="Dependency / sequencing note"/>
    <x:tableColumn id="11" name="Client decision"/>
    <x:tableColumn id="12" name="Project team review"/>
    <x:tableColumn id="13" name="Client comment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5" name="Phase5Deliverables" displayName="Phase5Deliverables" ref="A6:M17" headerRowCount="1" totalsRowCount="0" totalsRowShown="0">
  <x:autoFilter ref="A6:M17"/>
  <x:tableColumns count="13">
    <x:tableColumn id="1" name="Item ID"/>
    <x:tableColumn id="2" name="Current Phase"/>
    <x:tableColumn id="3" name="Phase Name"/>
    <x:tableColumn id="4" name="What users will be able to do"/>
    <x:tableColumn id="5" name="Expected outcome"/>
    <x:tableColumn id="6" name="Primary role(s)"/>
    <x:tableColumn id="7" name="Recommended priority"/>
    <x:tableColumn id="8" name="Client priority"/>
    <x:tableColumn id="9" name="Requested phase"/>
    <x:tableColumn id="10" name="Dependency / sequencing note"/>
    <x:tableColumn id="11" name="Client decision"/>
    <x:tableColumn id="12" name="Project team review"/>
    <x:tableColumn id="13" name="Client comment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6" name="Phase6Deliverables" displayName="Phase6Deliverables" ref="A6:M17" headerRowCount="1" totalsRowCount="0" totalsRowShown="0">
  <x:autoFilter ref="A6:M17"/>
  <x:tableColumns count="13">
    <x:tableColumn id="1" name="Item ID"/>
    <x:tableColumn id="2" name="Current Phase"/>
    <x:tableColumn id="3" name="Phase Name"/>
    <x:tableColumn id="4" name="What users will be able to do"/>
    <x:tableColumn id="5" name="Expected outcome"/>
    <x:tableColumn id="6" name="Primary role(s)"/>
    <x:tableColumn id="7" name="Recommended priority"/>
    <x:tableColumn id="8" name="Client priority"/>
    <x:tableColumn id="9" name="Requested phase"/>
    <x:tableColumn id="10" name="Dependency / sequencing note"/>
    <x:tableColumn id="11" name="Client decision"/>
    <x:tableColumn id="12" name="Project team review"/>
    <x:tableColumn id="13" name="Client comment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7" name="Phase7Deliverables" displayName="Phase7Deliverables" ref="A6:M15" headerRowCount="1" totalsRowCount="0" totalsRowShown="0">
  <x:autoFilter ref="A6:M15"/>
  <x:tableColumns count="13">
    <x:tableColumn id="1" name="Item ID"/>
    <x:tableColumn id="2" name="Current Phase"/>
    <x:tableColumn id="3" name="Phase Name"/>
    <x:tableColumn id="4" name="What users will be able to do"/>
    <x:tableColumn id="5" name="Expected outcome"/>
    <x:tableColumn id="6" name="Primary role(s)"/>
    <x:tableColumn id="7" name="Recommended priority"/>
    <x:tableColumn id="8" name="Client priority"/>
    <x:tableColumn id="9" name="Requested phase"/>
    <x:tableColumn id="10" name="Dependency / sequencing note"/>
    <x:tableColumn id="11" name="Client decision"/>
    <x:tableColumn id="12" name="Project team review"/>
    <x:tableColumn id="13" name="Client comment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8" name="Phase8Deliverables" displayName="Phase8Deliverables" ref="A6:M19" headerRowCount="1" totalsRowCount="0" totalsRowShown="0">
  <x:autoFilter ref="A6:M19"/>
  <x:tableColumns count="13">
    <x:tableColumn id="1" name="Item ID"/>
    <x:tableColumn id="2" name="Current Phase"/>
    <x:tableColumn id="3" name="Phase Name"/>
    <x:tableColumn id="4" name="What users will be able to do"/>
    <x:tableColumn id="5" name="Expected outcome"/>
    <x:tableColumn id="6" name="Primary role(s)"/>
    <x:tableColumn id="7" name="Recommended priority"/>
    <x:tableColumn id="8" name="Client priority"/>
    <x:tableColumn id="9" name="Requested phase"/>
    <x:tableColumn id="10" name="Dependency / sequencing note"/>
    <x:tableColumn id="11" name="Client decision"/>
    <x:tableColumn id="12" name="Project team review"/>
    <x:tableColumn id="13" name="Client comment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5" dT="2026-07-24T13:17:57.671" personId="{BD25A763-F382-41E2-86D2-1FAC5364FB38}" id="{673EF6F3-6D0F-006B-7CFE-F6A6266F205F}">
    <xltc:text>This tab is the editable source for Phase 1. Changes made here flow into the All Deliverables roll-up.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B5" dT="2026-07-24T13:17:57.691" personId="{BD25A763-F382-41E2-86D2-1FAC5364FB38}" id="{0C3651C6-3317-F941-A339-313AFDFBB7EE}">
    <xltc:text>This tab is the editable source for Phase 2. Changes made here flow into the All Deliverables roll-up.</xltc:text>
  </xltc:threadedComment>
</xltc:ThreadedComments>
</file>

<file path=xl/threadedcomments/threadedcomment3.xml><?xml version="1.0" encoding="utf-8"?>
<xltc:ThreadedComments xmlns:xltc="http://schemas.microsoft.com/office/spreadsheetml/2018/threadedcomments">
  <xltc:threadedComment ref="B5" dT="2026-07-24T13:17:57.701" personId="{BD25A763-F382-41E2-86D2-1FAC5364FB38}" id="{502B202B-EE7E-AEC3-784D-4214C9BE7E2F}">
    <xltc:text>This tab is the editable source for Phase 3. Changes made here flow into the All Deliverables roll-up.</xltc:text>
  </xltc:threadedComment>
</xltc:ThreadedComments>
</file>

<file path=xl/threadedcomments/threadedcomment4.xml><?xml version="1.0" encoding="utf-8"?>
<xltc:ThreadedComments xmlns:xltc="http://schemas.microsoft.com/office/spreadsheetml/2018/threadedcomments">
  <xltc:threadedComment ref="B5" dT="2026-07-24T13:17:57.709" personId="{BD25A763-F382-41E2-86D2-1FAC5364FB38}" id="{F08F7D19-80B9-A45E-7D6A-0776917648A1}">
    <xltc:text>This tab is the editable source for Phase 4. Changes made here flow into the All Deliverables roll-up.</xltc:text>
  </xltc:threadedComment>
</xltc:ThreadedComments>
</file>

<file path=xl/threadedcomments/threadedcomment5.xml><?xml version="1.0" encoding="utf-8"?>
<xltc:ThreadedComments xmlns:xltc="http://schemas.microsoft.com/office/spreadsheetml/2018/threadedcomments">
  <xltc:threadedComment ref="B5" dT="2026-07-24T13:17:57.719" personId="{BD25A763-F382-41E2-86D2-1FAC5364FB38}" id="{F0A2A3AD-5030-32B0-5DED-CB7B5B267A27}">
    <xltc:text>This tab is the editable source for Phase 5. Changes made here flow into the All Deliverables roll-up.</xltc:text>
  </xltc:threadedComment>
</xltc:ThreadedComments>
</file>

<file path=xl/threadedcomments/threadedcomment6.xml><?xml version="1.0" encoding="utf-8"?>
<xltc:ThreadedComments xmlns:xltc="http://schemas.microsoft.com/office/spreadsheetml/2018/threadedcomments">
  <xltc:threadedComment ref="B5" dT="2026-07-24T13:17:57.727" personId="{BD25A763-F382-41E2-86D2-1FAC5364FB38}" id="{8806A38E-333E-97CB-CAB6-08B23AB90430}">
    <xltc:text>This tab is the editable source for Phase 6. Changes made here flow into the All Deliverables roll-up.</xltc:text>
  </xltc:threadedComment>
</xltc:ThreadedComments>
</file>

<file path=xl/threadedcomments/threadedcomment7.xml><?xml version="1.0" encoding="utf-8"?>
<xltc:ThreadedComments xmlns:xltc="http://schemas.microsoft.com/office/spreadsheetml/2018/threadedcomments">
  <xltc:threadedComment ref="B5" dT="2026-07-24T13:17:57.734" personId="{BD25A763-F382-41E2-86D2-1FAC5364FB38}" id="{460678A6-779D-2C10-F394-779372DF476E}">
    <xltc:text>This tab is the editable source for Phase 7. Changes made here flow into the All Deliverables roll-up.</xltc:text>
  </xltc:threadedComment>
</xltc:ThreadedComments>
</file>

<file path=xl/threadedcomments/threadedcomment8.xml><?xml version="1.0" encoding="utf-8"?>
<xltc:ThreadedComments xmlns:xltc="http://schemas.microsoft.com/office/spreadsheetml/2018/threadedcomments">
  <xltc:threadedComment ref="B5" dT="2026-07-24T13:17:57.743" personId="{BD25A763-F382-41E2-86D2-1FAC5364FB38}" id="{CC7EDEDD-3ED9-B32F-86DF-23E0F92AF2BF}">
    <xltc:text>This tab is the editable source for Phase 8. Changes made here flow into the All Deliverables roll-up.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3e4a3a9d90f4803" /><Relationship Type="http://schemas.openxmlformats.org/officeDocument/2006/relationships/table" Target="/xl/tables/table1.xml" Id="R860e12599e3c489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df6eabea11e48d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1.xml" Id="Rd3fa32c051e94c92" /><Relationship Type="http://schemas.openxmlformats.org/officeDocument/2006/relationships/vmlDrawing" Target="/xl/drawings/vmldrawing.vml" Id="Rd99060e786d643fa" /><Relationship Type="http://schemas.microsoft.com/office/2017/10/relationships/threadedComment" Target="/xl/threadedcomments/threadedcomment.xml" Id="R023686b1e87446f3" /><Relationship Type="http://schemas.openxmlformats.org/officeDocument/2006/relationships/table" Target="/xl/tables/table3.xml" Id="R6345de7e65e04dc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2.xml" Id="R79432c525fd148be" /><Relationship Type="http://schemas.openxmlformats.org/officeDocument/2006/relationships/vmlDrawing" Target="/xl/drawings/vmldrawing2.vml" Id="Rdee435f17474487a" /><Relationship Type="http://schemas.microsoft.com/office/2017/10/relationships/threadedComment" Target="/xl/threadedcomments/threadedcomment2.xml" Id="R8bffa7f02a5e4d91" /><Relationship Type="http://schemas.openxmlformats.org/officeDocument/2006/relationships/table" Target="/xl/tables/table4.xml" Id="R55e91841c5b44be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comments" Target="/xl/comments3.xml" Id="Ra978aa8f054547aa" /><Relationship Type="http://schemas.openxmlformats.org/officeDocument/2006/relationships/vmlDrawing" Target="/xl/drawings/vmldrawing3.vml" Id="Ra43905a9b7da4050" /><Relationship Type="http://schemas.microsoft.com/office/2017/10/relationships/threadedComment" Target="/xl/threadedcomments/threadedcomment3.xml" Id="R99fc078af6dd41e2" /><Relationship Type="http://schemas.openxmlformats.org/officeDocument/2006/relationships/table" Target="/xl/tables/table5.xml" Id="Re6168e6fa8e24a7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comments" Target="/xl/comments4.xml" Id="Rf952312ee907461d" /><Relationship Type="http://schemas.openxmlformats.org/officeDocument/2006/relationships/vmlDrawing" Target="/xl/drawings/vmldrawing4.vml" Id="R0aa0fe7d995441af" /><Relationship Type="http://schemas.microsoft.com/office/2017/10/relationships/threadedComment" Target="/xl/threadedcomments/threadedcomment4.xml" Id="R0a1df8e35a9b47d1" /><Relationship Type="http://schemas.openxmlformats.org/officeDocument/2006/relationships/table" Target="/xl/tables/table6.xml" Id="R0d05d568390f47c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comments" Target="/xl/comments5.xml" Id="Rfe4827a71e7d428c" /><Relationship Type="http://schemas.openxmlformats.org/officeDocument/2006/relationships/vmlDrawing" Target="/xl/drawings/vmldrawing5.vml" Id="R12701d93d5ac4959" /><Relationship Type="http://schemas.microsoft.com/office/2017/10/relationships/threadedComment" Target="/xl/threadedcomments/threadedcomment5.xml" Id="Re5c84601d8e741a2" /><Relationship Type="http://schemas.openxmlformats.org/officeDocument/2006/relationships/table" Target="/xl/tables/table7.xml" Id="R33a3fb440af24ba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comments" Target="/xl/comments6.xml" Id="R534a9143766b47a6" /><Relationship Type="http://schemas.openxmlformats.org/officeDocument/2006/relationships/vmlDrawing" Target="/xl/drawings/vmldrawing6.vml" Id="Rd912de7c09074023" /><Relationship Type="http://schemas.microsoft.com/office/2017/10/relationships/threadedComment" Target="/xl/threadedcomments/threadedcomment6.xml" Id="R4d1f8cc063134b22" /><Relationship Type="http://schemas.openxmlformats.org/officeDocument/2006/relationships/table" Target="/xl/tables/table8.xml" Id="R07e0738f8e104bb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comments" Target="/xl/comments7.xml" Id="Re64f51817b084375" /><Relationship Type="http://schemas.openxmlformats.org/officeDocument/2006/relationships/vmlDrawing" Target="/xl/drawings/vmldrawing7.vml" Id="R052e73a4be744097" /><Relationship Type="http://schemas.microsoft.com/office/2017/10/relationships/threadedComment" Target="/xl/threadedcomments/threadedcomment7.xml" Id="Ref69568fa9124946" /><Relationship Type="http://schemas.openxmlformats.org/officeDocument/2006/relationships/table" Target="/xl/tables/table9.xml" Id="Rdc2690d058e8455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comments" Target="/xl/comments8.xml" Id="R7501e7fafd1c4745" /><Relationship Type="http://schemas.openxmlformats.org/officeDocument/2006/relationships/vmlDrawing" Target="/xl/drawings/vmldrawing8.vml" Id="Rffb7499c0ec64f35" /><Relationship Type="http://schemas.microsoft.com/office/2017/10/relationships/threadedComment" Target="/xl/threadedcomments/threadedcomment8.xml" Id="R44704ce2e2604391" /><Relationship Type="http://schemas.openxmlformats.org/officeDocument/2006/relationships/table" Target="/xl/tables/table10.xml" Id="Rf41def7b4ffa4a4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2" hidden="0" customWidth="1"/>
    <x:col min="3" max="3" width="18" hidden="0" customWidth="1"/>
    <x:col min="4" max="4" width="18" hidden="0" customWidth="1"/>
    <x:col min="5" max="5" width="22" hidden="0" customWidth="1"/>
    <x:col min="6" max="6" width="48" hidden="0" customWidth="1"/>
    <x:col min="7" max="7" width="18" hidden="0" customWidth="1"/>
    <x:col min="8" max="8" width="18" hidden="0" customWidth="1"/>
  </x:cols>
  <x:sheetData>
    <x:row r="1" ht="32" customHeight="1">
      <x:c r="A1" s="131" t="str">
        <x:v>YB Travel — Phased Delivery Review Workbook</x:v>
      </x:c>
      <x:c r="B1" s="131"/>
      <x:c r="C1" s="131"/>
      <x:c r="D1" s="131"/>
      <x:c r="E1" s="131"/>
      <x:c r="F1" s="131"/>
      <x:c r="G1" s="131"/>
      <x:c r="H1" s="131"/>
    </x:row>
    <x:row r="2" ht="34" customHeight="1">
      <x:c r="A2" s="132" t="str">
        <x:v>A client-friendly tool for reviewing deliverables, setting priorities, and requesting phase changes.</x:v>
      </x:c>
      <x:c r="B2" s="132"/>
      <x:c r="C2" s="132"/>
      <x:c r="D2" s="132"/>
      <x:c r="E2" s="132"/>
      <x:c r="F2" s="132"/>
      <x:c r="G2" s="132"/>
      <x:c r="H2" s="132"/>
    </x:row>
    <x:row r="3">
      <x:c r="A3" s="133"/>
      <x:c r="B3" s="133"/>
      <x:c r="C3" s="133"/>
      <x:c r="D3" s="133"/>
      <x:c r="E3" s="133"/>
      <x:c r="F3" s="133"/>
      <x:c r="G3" s="133"/>
      <x:c r="H3" s="133"/>
    </x:row>
    <x:row r="4" ht="46" customHeight="1">
      <x:c r="A4" s="134" t="str">
        <x:v>How to use: open a Phase tab, review each action, choose a Client Priority, change the Requested Phase if desired, select a Client Decision, and add comments. The project team will then review sequencing and dependencies.</x:v>
      </x:c>
      <x:c r="B4" s="135"/>
      <x:c r="C4" s="135"/>
      <x:c r="D4" s="135"/>
      <x:c r="E4" s="135"/>
      <x:c r="F4" s="135"/>
      <x:c r="G4" s="135"/>
      <x:c r="H4" s="136"/>
    </x:row>
    <x:row r="5">
      <x:c r="A5" s="133"/>
      <x:c r="B5" s="133"/>
      <x:c r="C5" s="133"/>
      <x:c r="D5" s="133"/>
      <x:c r="E5" s="133"/>
      <x:c r="F5" s="133"/>
      <x:c r="G5" s="133"/>
      <x:c r="H5" s="133"/>
    </x:row>
    <x:row r="6">
      <x:c r="A6" s="137" t="str">
        <x:v>Total deliverables</x:v>
      </x:c>
      <x:c r="B6" s="137"/>
      <x:c r="C6" s="137" t="str">
        <x:v>Must Have selected</x:v>
      </x:c>
      <x:c r="D6" s="137"/>
      <x:c r="E6" s="137" t="str">
        <x:v>Phase changes requested</x:v>
      </x:c>
      <x:c r="F6" s="137"/>
      <x:c r="G6" s="137" t="str">
        <x:v>Needs discussion</x:v>
      </x:c>
      <x:c r="H6" s="137"/>
    </x:row>
    <x:row r="7">
      <x:c r="A7" s="138" t="n">
        <x:f>COUNTA('All Deliverables'!$A$6:$A$110)</x:f>
        <x:v>105</x:v>
      </x:c>
      <x:c r="B7" s="139"/>
      <x:c r="C7" s="138" t="n">
        <x:f>COUNTIF('All Deliverables'!$H$6:$H$110,"Must Have")</x:f>
        <x:v>0</x:v>
      </x:c>
      <x:c r="D7" s="139"/>
      <x:c r="E7" s="138" t="n">
        <x:f>COUNTIF('All Deliverables'!$K$6:$K$110,"Move to requested phase")</x:f>
        <x:v>0</x:v>
      </x:c>
      <x:c r="F7" s="139"/>
      <x:c r="G7" s="138" t="n">
        <x:f>COUNTIF('All Deliverables'!$K$6:$K$110,"Needs discussion")</x:f>
        <x:v>0</x:v>
      </x:c>
      <x:c r="H7" s="139"/>
    </x:row>
    <x:row r="8">
      <x:c r="A8" s="140"/>
      <x:c r="B8" s="141"/>
      <x:c r="C8" s="140"/>
      <x:c r="D8" s="141"/>
      <x:c r="E8" s="140"/>
      <x:c r="F8" s="141"/>
      <x:c r="G8" s="140"/>
      <x:c r="H8" s="141"/>
    </x:row>
    <x:row r="9">
      <x:c r="A9" s="133"/>
      <x:c r="B9" s="133"/>
      <x:c r="C9" s="133"/>
      <x:c r="D9" s="133"/>
      <x:c r="E9" s="133"/>
      <x:c r="F9" s="133"/>
      <x:c r="G9" s="133"/>
      <x:c r="H9" s="133"/>
    </x:row>
    <x:row r="10">
      <x:c r="A10" s="133"/>
      <x:c r="B10" s="133"/>
      <x:c r="C10" s="133"/>
      <x:c r="D10" s="133"/>
      <x:c r="E10" s="133"/>
      <x:c r="F10" s="133"/>
      <x:c r="G10" s="133"/>
      <x:c r="H10" s="133"/>
    </x:row>
    <x:row r="11" ht="32" customHeight="1">
      <x:c r="A11" s="142" t="str">
        <x:v>Phase</x:v>
      </x:c>
      <x:c r="B11" s="143" t="str">
        <x:v>Phase name</x:v>
      </x:c>
      <x:c r="C11" s="143" t="str">
        <x:v>Current deliverables</x:v>
      </x:c>
      <x:c r="D11" s="143" t="str">
        <x:v>Requested deliverables</x:v>
      </x:c>
      <x:c r="E11" s="143" t="str">
        <x:v>Recommended priority</x:v>
      </x:c>
      <x:c r="F11" s="144" t="str">
        <x:v>Dependency summary</x:v>
      </x:c>
      <x:c r="G11" s="133"/>
      <x:c r="H11" s="133"/>
    </x:row>
    <x:row r="12" ht="42" customHeight="1">
      <x:c r="A12" s="145" t="str">
        <x:v>Phase 1</x:v>
      </x:c>
      <x:c r="B12" s="145" t="str">
        <x:v>Client Intake and Daily Work Management</x:v>
      </x:c>
      <x:c r="C12" s="146" t="n">
        <x:f>COUNTIF('All Deliverables'!$B$6:$B$110,A12)</x:f>
        <x:v>21</x:v>
      </x:c>
      <x:c r="D12" s="146" t="n">
        <x:f>COUNTIF('All Deliverables'!$I$6:$I$110,A12&amp;" — "&amp;B12)</x:f>
        <x:v>21</x:v>
      </x:c>
      <x:c r="E12" s="145" t="str">
        <x:v>Must Have</x:v>
      </x:c>
      <x:c r="F12" s="145" t="str">
        <x:v>Foundation for every later phase.</x:v>
      </x:c>
      <x:c r="G12" s="133"/>
      <x:c r="H12" s="133"/>
    </x:row>
    <x:row r="13" ht="42" customHeight="1">
      <x:c r="A13" s="147" t="str">
        <x:v>Phase 2</x:v>
      </x:c>
      <x:c r="B13" s="147" t="str">
        <x:v>Flight Research, Quotes, Payment, and Booking</x:v>
      </x:c>
      <x:c r="C13" s="148" t="n">
        <x:f>COUNTIF('All Deliverables'!$B$6:$B$110,A13)</x:f>
        <x:v>20</x:v>
      </x:c>
      <x:c r="D13" s="148" t="n">
        <x:f>COUNTIF('All Deliverables'!$I$6:$I$110,A13&amp;" — "&amp;B13)</x:f>
        <x:v>20</x:v>
      </x:c>
      <x:c r="E13" s="147" t="str">
        <x:v>Must Have</x:v>
      </x:c>
      <x:c r="F13" s="147" t="str">
        <x:v>Requires the client, traveller, ownership, and permission foundation from Phase 1.</x:v>
      </x:c>
      <x:c r="G13" s="133"/>
      <x:c r="H13" s="133"/>
    </x:row>
    <x:row r="14" ht="42" customHeight="1">
      <x:c r="A14" s="147" t="str">
        <x:v>Phase 3</x:v>
      </x:c>
      <x:c r="B14" s="147" t="str">
        <x:v>Sabre Connection and Ticketing</x:v>
      </x:c>
      <x:c r="C14" s="148" t="n">
        <x:f>COUNTIF('All Deliverables'!$B$6:$B$110,A14)</x:f>
        <x:v>11</x:v>
      </x:c>
      <x:c r="D14" s="148" t="n">
        <x:f>COUNTIF('All Deliverables'!$I$6:$I$110,A14&amp;" — "&amp;B14)</x:f>
        <x:v>11</x:v>
      </x:c>
      <x:c r="E14" s="147" t="str">
        <x:v>High</x:v>
      </x:c>
      <x:c r="F14" s="147" t="str">
        <x:v>Requires a stable Phase 2 booking workflow plus approved Sabre API products, credentials, permissions, and test access.</x:v>
      </x:c>
      <x:c r="G14" s="133"/>
      <x:c r="H14" s="133"/>
    </x:row>
    <x:row r="15" ht="42" customHeight="1">
      <x:c r="A15" s="147" t="str">
        <x:v>Phase 4</x:v>
      </x:c>
      <x:c r="B15" s="147" t="str">
        <x:v>Active Trip Support</x:v>
      </x:c>
      <x:c r="C15" s="148" t="n">
        <x:f>COUNTIF('All Deliverables'!$B$6:$B$110,A15)</x:f>
        <x:v>9</x:v>
      </x:c>
      <x:c r="D15" s="148" t="n">
        <x:f>COUNTIF('All Deliverables'!$I$6:$I$110,A15&amp;" — "&amp;B15)</x:f>
        <x:v>9</x:v>
      </x:c>
      <x:c r="E15" s="147" t="str">
        <x:v>High</x:v>
      </x:c>
      <x:c r="F15" s="147" t="str">
        <x:v>Requires reliable booking, segment, and ticket information; automation improves after the Phase 3 Sabre connection.</x:v>
      </x:c>
      <x:c r="G15" s="133"/>
      <x:c r="H15" s="133"/>
    </x:row>
    <x:row r="16" ht="42" customHeight="1">
      <x:c r="A16" s="147" t="str">
        <x:v>Phase 5</x:v>
      </x:c>
      <x:c r="B16" s="147" t="str">
        <x:v>Changes, Cancellations, Exchanges, and Refunds</x:v>
      </x:c>
      <x:c r="C16" s="148" t="n">
        <x:f>COUNTIF('All Deliverables'!$B$6:$B$110,A16)</x:f>
        <x:v>11</x:v>
      </x:c>
      <x:c r="D16" s="148" t="n">
        <x:f>COUNTIF('All Deliverables'!$I$6:$I$110,A16&amp;" — "&amp;B16)</x:f>
        <x:v>11</x:v>
      </x:c>
      <x:c r="E16" s="147" t="str">
        <x:v>High</x:v>
      </x:c>
      <x:c r="F16" s="147" t="str">
        <x:v>Requires booking and ticket history, authorization controls, payment confirmation, and ticketing capabilities from earlier phases.</x:v>
      </x:c>
      <x:c r="G16" s="133"/>
      <x:c r="H16" s="133"/>
    </x:row>
    <x:row r="17" ht="42" customHeight="1">
      <x:c r="A17" s="147" t="str">
        <x:v>Phase 6</x:v>
      </x:c>
      <x:c r="B17" s="147" t="str">
        <x:v>Finance, Hotels, and Supporting Services</x:v>
      </x:c>
      <x:c r="C17" s="148" t="n">
        <x:f>COUNTIF('All Deliverables'!$B$6:$B$110,A17)</x:f>
        <x:v>11</x:v>
      </x:c>
      <x:c r="D17" s="148" t="n">
        <x:f>COUNTIF('All Deliverables'!$I$6:$I$110,A17&amp;" — "&amp;B17)</x:f>
        <x:v>11</x:v>
      </x:c>
      <x:c r="E17" s="147" t="str">
        <x:v>Medium</x:v>
      </x:c>
      <x:c r="F17" s="147" t="str">
        <x:v>Requires confirmation of QuickBooks Online versus Desktop, supported integration options, hotel processes, and financial approval rules.</x:v>
      </x:c>
      <x:c r="G17" s="133"/>
      <x:c r="H17" s="133"/>
    </x:row>
    <x:row r="18" ht="42" customHeight="1">
      <x:c r="A18" s="147" t="str">
        <x:v>Phase 7</x:v>
      </x:c>
      <x:c r="B18" s="147" t="str">
        <x:v>Fare Optimization and Assisted Recommendations</x:v>
      </x:c>
      <x:c r="C18" s="148" t="n">
        <x:f>COUNTIF('All Deliverables'!$B$6:$B$110,A18)</x:f>
        <x:v>9</x:v>
      </x:c>
      <x:c r="D18" s="148" t="n">
        <x:f>COUNTIF('All Deliverables'!$I$6:$I$110,A18&amp;" — "&amp;B18)</x:f>
        <x:v>9</x:v>
      </x:c>
      <x:c r="E18" s="147" t="str">
        <x:v>Medium</x:v>
      </x:c>
      <x:c r="F18" s="147" t="str">
        <x:v>Requires Sabre and ticket data, account rules, fare rules, and approval controls established in earlier phases.</x:v>
      </x:c>
      <x:c r="G18" s="133"/>
      <x:c r="H18" s="133"/>
    </x:row>
    <x:row r="19" ht="42" customHeight="1">
      <x:c r="A19" s="149" t="str">
        <x:v>Phase 8</x:v>
      </x:c>
      <x:c r="B19" s="149" t="str">
        <x:v>Client Self-Service and Management Visibility</x:v>
      </x:c>
      <x:c r="C19" s="150" t="n">
        <x:f>COUNTIF('All Deliverables'!$B$6:$B$110,A19)</x:f>
        <x:v>13</x:v>
      </x:c>
      <x:c r="D19" s="150" t="n">
        <x:f>COUNTIF('All Deliverables'!$I$6:$I$110,A19&amp;" — "&amp;B19)</x:f>
        <x:v>13</x:v>
      </x:c>
      <x:c r="E19" s="149" t="str">
        <x:v>Future</x:v>
      </x:c>
      <x:c r="F19" s="149" t="str">
        <x:v>Requires stable internal workflows, security, permissions, and reliable data from the earlier phases.</x:v>
      </x:c>
      <x:c r="G19" s="133"/>
      <x:c r="H19" s="133"/>
    </x:row>
    <x:row r="20">
      <x:c r="A20" s="133"/>
      <x:c r="B20" s="133"/>
      <x:c r="C20" s="133"/>
      <x:c r="D20" s="133"/>
      <x:c r="E20" s="133"/>
      <x:c r="F20" s="133"/>
      <x:c r="G20" s="133"/>
      <x:c r="H20" s="133"/>
    </x:row>
    <x:row r="21">
      <x:c r="A21" s="133"/>
      <x:c r="B21" s="133"/>
      <x:c r="C21" s="133"/>
      <x:c r="D21" s="133"/>
      <x:c r="E21" s="133"/>
      <x:c r="F21" s="133"/>
      <x:c r="G21" s="133"/>
      <x:c r="H21" s="133"/>
    </x:row>
    <x:row r="22">
      <x:c r="A22" s="151" t="str">
        <x:v>Review controls</x:v>
      </x:c>
      <x:c r="B22" s="151"/>
      <x:c r="C22" s="151"/>
      <x:c r="D22" s="151"/>
      <x:c r="E22" s="151"/>
      <x:c r="F22" s="151"/>
      <x:c r="G22" s="151"/>
      <x:c r="H22" s="151"/>
    </x:row>
    <x:row r="23" ht="34" customHeight="1">
      <x:c r="A23" s="152" t="str">
        <x:v>Client Priority</x:v>
      </x:c>
      <x:c r="B23" s="153" t="str">
        <x:v>The client’s preferred importance for the deliverable.</x:v>
      </x:c>
      <x:c r="C23" s="133"/>
      <x:c r="D23" s="133"/>
      <x:c r="E23" s="133"/>
      <x:c r="F23" s="133"/>
      <x:c r="G23" s="133"/>
      <x:c r="H23" s="133"/>
    </x:row>
    <x:row r="24" ht="34" customHeight="1">
      <x:c r="A24" s="154" t="str">
        <x:v>Requested Phase</x:v>
      </x:c>
      <x:c r="B24" s="155" t="str">
        <x:v>The phase where the client would like the deliverable moved.</x:v>
      </x:c>
      <x:c r="C24" s="133"/>
      <x:c r="D24" s="133"/>
      <x:c r="E24" s="133"/>
      <x:c r="F24" s="133"/>
      <x:c r="G24" s="133"/>
      <x:c r="H24" s="133"/>
    </x:row>
    <x:row r="25" ht="34" customHeight="1">
      <x:c r="A25" s="154" t="str">
        <x:v>Client Decision</x:v>
      </x:c>
      <x:c r="B25" s="155" t="str">
        <x:v>Keep, move, defer, remove, or discuss the deliverable.</x:v>
      </x:c>
      <x:c r="C25" s="133"/>
      <x:c r="D25" s="133"/>
      <x:c r="E25" s="133"/>
      <x:c r="F25" s="133"/>
      <x:c r="G25" s="133"/>
      <x:c r="H25" s="133"/>
    </x:row>
    <x:row r="26" ht="34" customHeight="1">
      <x:c r="A26" s="154" t="str">
        <x:v>Project Team Review</x:v>
      </x:c>
      <x:c r="B26" s="155" t="str">
        <x:v>Whether the requested move is feasible and what dependencies apply.</x:v>
      </x:c>
      <x:c r="C26" s="133"/>
      <x:c r="D26" s="133"/>
      <x:c r="E26" s="133"/>
      <x:c r="F26" s="133"/>
      <x:c r="G26" s="133"/>
      <x:c r="H26" s="133"/>
    </x:row>
    <x:row r="27" ht="34" customHeight="1">
      <x:c r="A27" s="154" t="str">
        <x:v>Client Comments</x:v>
      </x:c>
      <x:c r="B27" s="155" t="str">
        <x:v>Business context, questions, or requested changes.</x:v>
      </x:c>
      <x:c r="C27" s="133"/>
      <x:c r="D27" s="133"/>
      <x:c r="E27" s="133"/>
      <x:c r="F27" s="133"/>
      <x:c r="G27" s="133"/>
      <x:c r="H27" s="133"/>
    </x:row>
    <x:row r="28" ht="34" customHeight="1">
      <x:c r="A28" s="156" t="str">
        <x:v>Important</x:v>
      </x:c>
      <x:c r="B28" s="157" t="str">
        <x:v>A requested phase change is reviewed before the delivery plan is updated.</x:v>
      </x:c>
      <x:c r="C28" s="133"/>
      <x:c r="D28" s="133"/>
      <x:c r="E28" s="133"/>
      <x:c r="F28" s="133"/>
      <x:c r="G28" s="133"/>
      <x:c r="H28" s="133"/>
    </x:row>
    <x:row r="29">
      <x:c r="A29" s="133"/>
      <x:c r="B29" s="133"/>
      <x:c r="C29" s="133"/>
      <x:c r="D29" s="133"/>
      <x:c r="E29" s="133"/>
      <x:c r="F29" s="133"/>
      <x:c r="G29" s="133"/>
      <x:c r="H29" s="133"/>
    </x:row>
    <x:row r="30">
      <x:c r="A30" s="133"/>
      <x:c r="B30" s="133"/>
      <x:c r="C30" s="133"/>
      <x:c r="D30" s="133"/>
      <x:c r="E30" s="133"/>
      <x:c r="F30" s="133"/>
      <x:c r="G30" s="133"/>
      <x:c r="H30" s="133"/>
    </x:row>
    <x:row r="31">
      <x:c r="A31" s="158" t="str">
        <x:v>Source document</x:v>
      </x:c>
      <x:c r="B31" s="159" t="str">
        <x:v>https://docs.google.com/document/d/1-v4A5efgcBagZyUb_1xQ3TWmaxklxeiwDVJTbaWaUg0/edit</x:v>
      </x:c>
      <x:c r="C31" s="133"/>
      <x:c r="D31" s="133"/>
      <x:c r="E31" s="133"/>
      <x:c r="F31" s="133"/>
      <x:c r="G31" s="133"/>
      <x:c r="H31" s="133"/>
    </x:row>
    <x:row r="32">
      <x:c r="A32" s="160" t="str">
        <x:v>Workbook status</x:v>
      </x:c>
      <x:c r="B32" s="161" t="str">
        <x:v>Client review draft</x:v>
      </x:c>
      <x:c r="C32" s="133"/>
      <x:c r="D32" s="133"/>
      <x:c r="E32" s="133"/>
      <x:c r="F32" s="133"/>
      <x:c r="G32" s="133"/>
      <x:c r="H32" s="133"/>
    </x:row>
    <x:row r="33">
      <x:c r="A33" s="162" t="str">
        <x:v>Prepared</x:v>
      </x:c>
      <x:c r="B33" s="163" t="n">
        <x:v>46227</x:v>
      </x:c>
      <x:c r="C33" s="133"/>
      <x:c r="D33" s="133"/>
      <x:c r="E33" s="133"/>
      <x:c r="F33" s="133"/>
      <x:c r="G33" s="133"/>
      <x:c r="H33" s="133"/>
    </x:row>
  </x:sheetData>
  <x:mergeCells>
    <x:mergeCell ref="A1:H1"/>
    <x:mergeCell ref="A2:H2"/>
    <x:mergeCell ref="A4:H4"/>
    <x:mergeCell ref="A6:B6"/>
    <x:mergeCell ref="A7:B8"/>
    <x:mergeCell ref="C6:D6"/>
    <x:mergeCell ref="C7:D8"/>
    <x:mergeCell ref="E6:F6"/>
    <x:mergeCell ref="E7:F8"/>
    <x:mergeCell ref="G6:H6"/>
    <x:mergeCell ref="G7:H8"/>
    <x:mergeCell ref="A22:H22"/>
  </x:mergeCells>
  <x:pageMargins left="0.7" right="0.7" top="0.75" bottom="0.75" header="0.3" footer="0.3"/>
  <x:drawing xmlns:r="http://schemas.openxmlformats.org/officeDocument/2006/relationships" r:id="R53e4a3a9d90f4803"/>
  <x:tableParts count="1">
    <x:tablePart xmlns:r="http://schemas.openxmlformats.org/officeDocument/2006/relationships" r:id="R860e12599e3c489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34" hidden="0" customWidth="1"/>
    <x:col min="4" max="4" width="62" hidden="0" customWidth="1"/>
    <x:col min="5" max="5" width="44" hidden="0" customWidth="1"/>
    <x:col min="6" max="6" width="30" hidden="0" customWidth="1"/>
    <x:col min="7" max="7" width="20" hidden="0" customWidth="1"/>
    <x:col min="8" max="8" width="20" hidden="0" customWidth="1"/>
    <x:col min="9" max="9" width="42" hidden="0" customWidth="1"/>
    <x:col min="10" max="10" width="46" hidden="0" customWidth="1"/>
    <x:col min="11" max="11" width="24" hidden="0" customWidth="1"/>
    <x:col min="12" max="12" width="28" hidden="0" customWidth="1"/>
    <x:col min="13" max="13" width="42" hidden="0" customWidth="1"/>
  </x:cols>
  <x:sheetData>
    <x:row r="1" ht="32" customHeight="1">
      <x:c r="A1" s="131" t="str">
        <x:v>YB Travel — All Deliverables and Prioritization</x:v>
      </x:c>
      <x:c r="B1" s="131"/>
      <x:c r="C1" s="131"/>
      <x:c r="D1" s="131"/>
      <x:c r="E1" s="131"/>
      <x:c r="F1" s="131"/>
      <x:c r="G1" s="131"/>
      <x:c r="H1" s="131"/>
      <x:c r="I1" s="131"/>
      <x:c r="J1" s="131"/>
      <x:c r="K1" s="131"/>
      <x:c r="L1" s="131"/>
      <x:c r="M1" s="131"/>
    </x:row>
    <x:row r="2" ht="34" customHeight="1">
      <x:c r="A2" s="132" t="str">
        <x:v>Filter the list by phase, priority, role, decision, or requested phase. Make edits in the relevant Phase tab; this roll-up updates from those tabs.</x:v>
      </x:c>
      <x:c r="B2" s="132"/>
      <x:c r="C2" s="132"/>
      <x:c r="D2" s="132"/>
      <x:c r="E2" s="132"/>
      <x:c r="F2" s="132"/>
      <x:c r="G2" s="132"/>
      <x:c r="H2" s="132"/>
      <x:c r="I2" s="132"/>
      <x:c r="J2" s="132"/>
      <x:c r="K2" s="132"/>
      <x:c r="L2" s="132"/>
      <x:c r="M2" s="132"/>
    </x:row>
    <x:row r="3" ht="30" customHeight="1">
      <x:c r="A3" s="164" t="str">
        <x:v>Yellow fields are client inputs. The requested phase is not a delivery commitment until the dependency review has been completed.</x:v>
      </x:c>
      <x:c r="B3" s="164"/>
      <x:c r="C3" s="164"/>
      <x:c r="D3" s="164"/>
      <x:c r="E3" s="164"/>
      <x:c r="F3" s="164"/>
      <x:c r="G3" s="164"/>
      <x:c r="H3" s="164"/>
      <x:c r="I3" s="164"/>
      <x:c r="J3" s="164"/>
      <x:c r="K3" s="164"/>
      <x:c r="L3" s="164"/>
      <x:c r="M3" s="164"/>
    </x:row>
    <x:row r="4">
      <x:c r="A4" s="133"/>
      <x:c r="B4" s="133"/>
      <x:c r="C4" s="133"/>
      <x:c r="D4" s="133"/>
      <x:c r="E4" s="133"/>
      <x:c r="F4" s="133"/>
      <x:c r="G4" s="133"/>
      <x:c r="H4" s="133"/>
      <x:c r="I4" s="133"/>
      <x:c r="J4" s="133"/>
      <x:c r="K4" s="133"/>
      <x:c r="L4" s="133"/>
      <x:c r="M4" s="133"/>
    </x:row>
    <x:row r="5" ht="32" customHeight="1">
      <x:c r="A5" s="142" t="str">
        <x:v>Item ID</x:v>
      </x:c>
      <x:c r="B5" s="143" t="str">
        <x:v>Current Phase</x:v>
      </x:c>
      <x:c r="C5" s="143" t="str">
        <x:v>Phase Name</x:v>
      </x:c>
      <x:c r="D5" s="143" t="str">
        <x:v>What users will be able to do</x:v>
      </x:c>
      <x:c r="E5" s="143" t="str">
        <x:v>Expected outcome</x:v>
      </x:c>
      <x:c r="F5" s="143" t="str">
        <x:v>Primary role(s)</x:v>
      </x:c>
      <x:c r="G5" s="143" t="str">
        <x:v>Recommended priority</x:v>
      </x:c>
      <x:c r="H5" s="143" t="str">
        <x:v>Client priority</x:v>
      </x:c>
      <x:c r="I5" s="143" t="str">
        <x:v>Requested phase</x:v>
      </x:c>
      <x:c r="J5" s="143" t="str">
        <x:v>Dependency / sequencing note</x:v>
      </x:c>
      <x:c r="K5" s="143" t="str">
        <x:v>Client decision</x:v>
      </x:c>
      <x:c r="L5" s="143" t="str">
        <x:v>Project team review</x:v>
      </x:c>
      <x:c r="M5" s="144" t="str">
        <x:v>Client comments</x:v>
      </x:c>
    </x:row>
    <x:row r="6" ht="56" customHeight="1">
      <x:c r="A6" s="165" t="str">
        <x:f>'Phase 1'!A7</x:f>
        <x:v>P1-01</x:v>
      </x:c>
      <x:c r="B6" s="165" t="str">
        <x:f>'Phase 1'!B7</x:f>
        <x:v>Phase 1</x:v>
      </x:c>
      <x:c r="C6" s="165" t="str">
        <x:f>'Phase 1'!C7</x:f>
        <x:v>Client Intake and Daily Work Management</x:v>
      </x:c>
      <x:c r="D6" s="145" t="str">
        <x:f>'Phase 1'!D7</x:f>
        <x:v>Continue receiving client requests through WhatsApp without changing the client’s current experience.</x:v>
      </x:c>
      <x:c r="E6" s="145" t="str">
        <x:f>'Phase 1'!E7</x:f>
        <x:v>A controlled client-intake process with reusable traveller records, clear ownership, reminders, and role-based access.</x:v>
      </x:c>
      <x:c r="F6" s="145" t="str">
        <x:f>'Phase 1'!F7</x:f>
        <x:v>Offshore Intake Employee; Travel Agent</x:v>
      </x:c>
      <x:c r="G6" s="145" t="str">
        <x:f>'Phase 1'!G7</x:f>
        <x:v>Must Have</x:v>
      </x:c>
      <x:c r="H6" s="166" t="str">
        <x:f>'Phase 1'!H7</x:f>
        <x:v>To Be Confirmed</x:v>
      </x:c>
      <x:c r="I6" s="166" t="str">
        <x:f>'Phase 1'!I7</x:f>
        <x:v>Phase 1 — Client Intake and Daily Work Management</x:v>
      </x:c>
      <x:c r="J6" s="145" t="str">
        <x:f>'Phase 1'!J7</x:f>
        <x:v>Foundation for every later phase.</x:v>
      </x:c>
      <x:c r="K6" s="166" t="str">
        <x:f>'Phase 1'!K7</x:f>
        <x:v>Keep as proposed</x:v>
      </x:c>
      <x:c r="L6" s="167" t="str">
        <x:f>'Phase 1'!L7</x:f>
        <x:v>Pending project review</x:v>
      </x:c>
      <x:c r="M6" s="166" t="str">
        <x:f>IF('Phase 1'!M7="","",'Phase 1'!M7)</x:f>
      </x:c>
    </x:row>
    <x:row r="7" ht="56" customHeight="1">
      <x:c r="A7" s="168" t="str">
        <x:f>'Phase 1'!A8</x:f>
        <x:v>P1-02</x:v>
      </x:c>
      <x:c r="B7" s="168" t="str">
        <x:f>'Phase 1'!B8</x:f>
        <x:v>Phase 1</x:v>
      </x:c>
      <x:c r="C7" s="168" t="str">
        <x:f>'Phase 1'!C8</x:f>
        <x:v>Client Intake and Daily Work Management</x:v>
      </x:c>
      <x:c r="D7" s="147" t="str">
        <x:f>'Phase 1'!D8</x:f>
        <x:v>Find an existing client or create a new client record.</x:v>
      </x:c>
      <x:c r="E7" s="147" t="str">
        <x:f>'Phase 1'!E8</x:f>
        <x:v>A controlled client-intake process with reusable traveller records, clear ownership, reminders, and role-based access.</x:v>
      </x:c>
      <x:c r="F7" s="147" t="str">
        <x:f>'Phase 1'!F8</x:f>
        <x:v>Offshore Intake Employee; Travel Agent</x:v>
      </x:c>
      <x:c r="G7" s="147" t="str">
        <x:f>'Phase 1'!G8</x:f>
        <x:v>Must Have</x:v>
      </x:c>
      <x:c r="H7" s="169" t="str">
        <x:f>'Phase 1'!H8</x:f>
        <x:v>To Be Confirmed</x:v>
      </x:c>
      <x:c r="I7" s="169" t="str">
        <x:f>'Phase 1'!I8</x:f>
        <x:v>Phase 1 — Client Intake and Daily Work Management</x:v>
      </x:c>
      <x:c r="J7" s="147" t="str">
        <x:f>'Phase 1'!J8</x:f>
        <x:v>Foundation for every later phase.</x:v>
      </x:c>
      <x:c r="K7" s="169" t="str">
        <x:f>'Phase 1'!K8</x:f>
        <x:v>Keep as proposed</x:v>
      </x:c>
      <x:c r="L7" s="170" t="str">
        <x:f>'Phase 1'!L8</x:f>
        <x:v>Pending project review</x:v>
      </x:c>
      <x:c r="M7" s="169" t="str">
        <x:f>IF('Phase 1'!M8="","",'Phase 1'!M8)</x:f>
      </x:c>
    </x:row>
    <x:row r="8" ht="56" customHeight="1">
      <x:c r="A8" s="168" t="str">
        <x:f>'Phase 1'!A9</x:f>
        <x:v>P1-03</x:v>
      </x:c>
      <x:c r="B8" s="168" t="str">
        <x:f>'Phase 1'!B9</x:f>
        <x:v>Phase 1</x:v>
      </x:c>
      <x:c r="C8" s="168" t="str">
        <x:f>'Phase 1'!C9</x:f>
        <x:v>Client Intake and Daily Work Management</x:v>
      </x:c>
      <x:c r="D8" s="147" t="str">
        <x:f>'Phase 1'!D9</x:f>
        <x:v>Choose the applicable booking-fee group (standard, Belev Echad, or Scheiman) and see the correct fee for each passenger.</x:v>
      </x:c>
      <x:c r="E8" s="147" t="str">
        <x:f>'Phase 1'!E9</x:f>
        <x:v>A controlled client-intake process with reusable traveller records, clear ownership, reminders, and role-based access.</x:v>
      </x:c>
      <x:c r="F8" s="147" t="str">
        <x:f>'Phase 1'!F9</x:f>
        <x:v>Offshore Intake Employee; Travel Agent</x:v>
      </x:c>
      <x:c r="G8" s="147" t="str">
        <x:f>'Phase 1'!G9</x:f>
        <x:v>Must Have</x:v>
      </x:c>
      <x:c r="H8" s="169" t="str">
        <x:f>'Phase 1'!H9</x:f>
        <x:v>To Be Confirmed</x:v>
      </x:c>
      <x:c r="I8" s="169" t="str">
        <x:f>'Phase 1'!I9</x:f>
        <x:v>Phase 1 — Client Intake and Daily Work Management</x:v>
      </x:c>
      <x:c r="J8" s="147" t="str">
        <x:f>'Phase 1'!J9</x:f>
        <x:v>Foundation for every later phase.</x:v>
      </x:c>
      <x:c r="K8" s="169" t="str">
        <x:f>'Phase 1'!K9</x:f>
        <x:v>Keep as proposed</x:v>
      </x:c>
      <x:c r="L8" s="170" t="str">
        <x:f>'Phase 1'!L9</x:f>
        <x:v>Pending project review</x:v>
      </x:c>
      <x:c r="M8" s="169" t="str">
        <x:f>IF('Phase 1'!M9="","",'Phase 1'!M9)</x:f>
      </x:c>
    </x:row>
    <x:row r="9" ht="56" customHeight="1">
      <x:c r="A9" s="168" t="str">
        <x:f>'Phase 1'!A10</x:f>
        <x:v>P1-04</x:v>
      </x:c>
      <x:c r="B9" s="168" t="str">
        <x:f>'Phase 1'!B10</x:f>
        <x:v>Phase 1</x:v>
      </x:c>
      <x:c r="C9" s="168" t="str">
        <x:f>'Phase 1'!C10</x:f>
        <x:v>Client Intake and Daily Work Management</x:v>
      </x:c>
      <x:c r="D9" s="147" t="str">
        <x:f>'Phase 1'!D10</x:f>
        <x:v>Add the client’s family members, dependants, and other travellers once and reuse their information for future trips.</x:v>
      </x:c>
      <x:c r="E9" s="147" t="str">
        <x:f>'Phase 1'!E10</x:f>
        <x:v>A controlled client-intake process with reusable traveller records, clear ownership, reminders, and role-based access.</x:v>
      </x:c>
      <x:c r="F9" s="147" t="str">
        <x:f>'Phase 1'!F10</x:f>
        <x:v>Offshore Intake Employee; Travel Agent</x:v>
      </x:c>
      <x:c r="G9" s="147" t="str">
        <x:f>'Phase 1'!G10</x:f>
        <x:v>Must Have</x:v>
      </x:c>
      <x:c r="H9" s="169" t="str">
        <x:f>'Phase 1'!H10</x:f>
        <x:v>To Be Confirmed</x:v>
      </x:c>
      <x:c r="I9" s="169" t="str">
        <x:f>'Phase 1'!I10</x:f>
        <x:v>Phase 1 — Client Intake and Daily Work Management</x:v>
      </x:c>
      <x:c r="J9" s="147" t="str">
        <x:f>'Phase 1'!J10</x:f>
        <x:v>Foundation for every later phase.</x:v>
      </x:c>
      <x:c r="K9" s="169" t="str">
        <x:f>'Phase 1'!K10</x:f>
        <x:v>Keep as proposed</x:v>
      </x:c>
      <x:c r="L9" s="170" t="str">
        <x:f>'Phase 1'!L10</x:f>
        <x:v>Pending project review</x:v>
      </x:c>
      <x:c r="M9" s="169" t="str">
        <x:f>IF('Phase 1'!M10="","",'Phase 1'!M10)</x:f>
      </x:c>
    </x:row>
    <x:row r="10" ht="56" customHeight="1">
      <x:c r="A10" s="168" t="str">
        <x:f>'Phase 1'!A11</x:f>
        <x:v>P1-05</x:v>
      </x:c>
      <x:c r="B10" s="168" t="str">
        <x:f>'Phase 1'!B11</x:f>
        <x:v>Phase 1</x:v>
      </x:c>
      <x:c r="C10" s="168" t="str">
        <x:f>'Phase 1'!C11</x:f>
        <x:v>Client Intake and Daily Work Management</x:v>
      </x:c>
      <x:c r="D10" s="147" t="str">
        <x:f>'Phase 1'!D11</x:f>
        <x:v>Move each new client through clear onboarding stages: new inquiry, welcome sent, waiting for information, information received, review complete, and fully onboarded.</x:v>
      </x:c>
      <x:c r="E10" s="147" t="str">
        <x:f>'Phase 1'!E11</x:f>
        <x:v>A controlled client-intake process with reusable traveller records, clear ownership, reminders, and role-based access.</x:v>
      </x:c>
      <x:c r="F10" s="147" t="str">
        <x:f>'Phase 1'!F11</x:f>
        <x:v>Offshore Intake Employee; Travel Agent</x:v>
      </x:c>
      <x:c r="G10" s="147" t="str">
        <x:f>'Phase 1'!G11</x:f>
        <x:v>Must Have</x:v>
      </x:c>
      <x:c r="H10" s="169" t="str">
        <x:f>'Phase 1'!H11</x:f>
        <x:v>To Be Confirmed</x:v>
      </x:c>
      <x:c r="I10" s="169" t="str">
        <x:f>'Phase 1'!I11</x:f>
        <x:v>Phase 1 — Client Intake and Daily Work Management</x:v>
      </x:c>
      <x:c r="J10" s="147" t="str">
        <x:f>'Phase 1'!J11</x:f>
        <x:v>Foundation for every later phase.</x:v>
      </x:c>
      <x:c r="K10" s="169" t="str">
        <x:f>'Phase 1'!K11</x:f>
        <x:v>Keep as proposed</x:v>
      </x:c>
      <x:c r="L10" s="170" t="str">
        <x:f>'Phase 1'!L11</x:f>
        <x:v>Pending project review</x:v>
      </x:c>
      <x:c r="M10" s="169" t="str">
        <x:f>IF('Phase 1'!M11="","",'Phase 1'!M11)</x:f>
      </x:c>
    </x:row>
    <x:row r="11" ht="56" customHeight="1">
      <x:c r="A11" s="168" t="str">
        <x:f>'Phase 1'!A12</x:f>
        <x:v>P1-06</x:v>
      </x:c>
      <x:c r="B11" s="168" t="str">
        <x:f>'Phase 1'!B12</x:f>
        <x:v>Phase 1</x:v>
      </x:c>
      <x:c r="C11" s="168" t="str">
        <x:f>'Phase 1'!C12</x:f>
        <x:v>Client Intake and Daily Work Management</x:v>
      </x:c>
      <x:c r="D11" s="147" t="str">
        <x:f>'Phase 1'!D12</x:f>
        <x:v>See the client’s current onboarding stage, the missing steps, and the next required action.</x:v>
      </x:c>
      <x:c r="E11" s="147" t="str">
        <x:f>'Phase 1'!E12</x:f>
        <x:v>A controlled client-intake process with reusable traveller records, clear ownership, reminders, and role-based access.</x:v>
      </x:c>
      <x:c r="F11" s="147" t="str">
        <x:f>'Phase 1'!F12</x:f>
        <x:v>Offshore Intake Employee; Travel Agent</x:v>
      </x:c>
      <x:c r="G11" s="147" t="str">
        <x:f>'Phase 1'!G12</x:f>
        <x:v>Must Have</x:v>
      </x:c>
      <x:c r="H11" s="169" t="str">
        <x:f>'Phase 1'!H12</x:f>
        <x:v>To Be Confirmed</x:v>
      </x:c>
      <x:c r="I11" s="169" t="str">
        <x:f>'Phase 1'!I12</x:f>
        <x:v>Phase 1 — Client Intake and Daily Work Management</x:v>
      </x:c>
      <x:c r="J11" s="147" t="str">
        <x:f>'Phase 1'!J12</x:f>
        <x:v>Foundation for every later phase.</x:v>
      </x:c>
      <x:c r="K11" s="169" t="str">
        <x:f>'Phase 1'!K12</x:f>
        <x:v>Keep as proposed</x:v>
      </x:c>
      <x:c r="L11" s="170" t="str">
        <x:f>'Phase 1'!L12</x:f>
        <x:v>Pending project review</x:v>
      </x:c>
      <x:c r="M11" s="169" t="str">
        <x:f>IF('Phase 1'!M12="","",'Phase 1'!M12)</x:f>
      </x:c>
    </x:row>
    <x:row r="12" ht="56" customHeight="1">
      <x:c r="A12" s="168" t="str">
        <x:f>'Phase 1'!A13</x:f>
        <x:v>P1-07</x:v>
      </x:c>
      <x:c r="B12" s="168" t="str">
        <x:f>'Phase 1'!B13</x:f>
        <x:v>Phase 1</x:v>
      </x:c>
      <x:c r="C12" s="168" t="str">
        <x:f>'Phase 1'!C13</x:f>
        <x:v>Client Intake and Daily Work Management</x:v>
      </x:c>
      <x:c r="D12" s="147" t="str">
        <x:f>'Phase 1'!D13</x:f>
        <x:v>Prevent onboarding from being marked complete until the required client and traveller information has been reviewed.</x:v>
      </x:c>
      <x:c r="E12" s="147" t="str">
        <x:f>'Phase 1'!E13</x:f>
        <x:v>A controlled client-intake process with reusable traveller records, clear ownership, reminders, and role-based access.</x:v>
      </x:c>
      <x:c r="F12" s="147" t="str">
        <x:f>'Phase 1'!F13</x:f>
        <x:v>Offshore Intake Employee; Travel Agent</x:v>
      </x:c>
      <x:c r="G12" s="147" t="str">
        <x:f>'Phase 1'!G13</x:f>
        <x:v>Must Have</x:v>
      </x:c>
      <x:c r="H12" s="169" t="str">
        <x:f>'Phase 1'!H13</x:f>
        <x:v>To Be Confirmed</x:v>
      </x:c>
      <x:c r="I12" s="169" t="str">
        <x:f>'Phase 1'!I13</x:f>
        <x:v>Phase 1 — Client Intake and Daily Work Management</x:v>
      </x:c>
      <x:c r="J12" s="147" t="str">
        <x:f>'Phase 1'!J13</x:f>
        <x:v>Foundation for every later phase.</x:v>
      </x:c>
      <x:c r="K12" s="169" t="str">
        <x:f>'Phase 1'!K13</x:f>
        <x:v>Keep as proposed</x:v>
      </x:c>
      <x:c r="L12" s="170" t="str">
        <x:f>'Phase 1'!L13</x:f>
        <x:v>Pending project review</x:v>
      </x:c>
      <x:c r="M12" s="169" t="str">
        <x:f>IF('Phase 1'!M13="","",'Phase 1'!M13)</x:f>
      </x:c>
    </x:row>
    <x:row r="13" ht="56" customHeight="1">
      <x:c r="A13" s="168" t="str">
        <x:f>'Phase 1'!A14</x:f>
        <x:v>P1-08</x:v>
      </x:c>
      <x:c r="B13" s="168" t="str">
        <x:f>'Phase 1'!B14</x:f>
        <x:v>Phase 1</x:v>
      </x:c>
      <x:c r="C13" s="168" t="str">
        <x:f>'Phase 1'!C14</x:f>
        <x:v>Client Intake and Daily Work Management</x:v>
      </x:c>
      <x:c r="D13" s="147" t="str">
        <x:f>'Phase 1'!D14</x:f>
        <x:v>See which required details are missing, such as legal names, dates of birth, airports, dates, cabin class, flexibility, or special requests.</x:v>
      </x:c>
      <x:c r="E13" s="147" t="str">
        <x:f>'Phase 1'!E14</x:f>
        <x:v>A controlled client-intake process with reusable traveller records, clear ownership, reminders, and role-based access.</x:v>
      </x:c>
      <x:c r="F13" s="147" t="str">
        <x:f>'Phase 1'!F14</x:f>
        <x:v>Offshore Intake Employee; Travel Agent</x:v>
      </x:c>
      <x:c r="G13" s="147" t="str">
        <x:f>'Phase 1'!G14</x:f>
        <x:v>Must Have</x:v>
      </x:c>
      <x:c r="H13" s="169" t="str">
        <x:f>'Phase 1'!H14</x:f>
        <x:v>To Be Confirmed</x:v>
      </x:c>
      <x:c r="I13" s="169" t="str">
        <x:f>'Phase 1'!I14</x:f>
        <x:v>Phase 1 — Client Intake and Daily Work Management</x:v>
      </x:c>
      <x:c r="J13" s="147" t="str">
        <x:f>'Phase 1'!J14</x:f>
        <x:v>Foundation for every later phase.</x:v>
      </x:c>
      <x:c r="K13" s="169" t="str">
        <x:f>'Phase 1'!K14</x:f>
        <x:v>Keep as proposed</x:v>
      </x:c>
      <x:c r="L13" s="170" t="str">
        <x:f>'Phase 1'!L14</x:f>
        <x:v>Pending project review</x:v>
      </x:c>
      <x:c r="M13" s="169" t="str">
        <x:f>IF('Phase 1'!M14="","",'Phase 1'!M14)</x:f>
      </x:c>
    </x:row>
    <x:row r="14" ht="56" customHeight="1">
      <x:c r="A14" s="168" t="str">
        <x:f>'Phase 1'!A15</x:f>
        <x:v>P1-09</x:v>
      </x:c>
      <x:c r="B14" s="168" t="str">
        <x:f>'Phase 1'!B15</x:f>
        <x:v>Phase 1</x:v>
      </x:c>
      <x:c r="C14" s="168" t="str">
        <x:f>'Phase 1'!C15</x:f>
        <x:v>Client Intake and Daily Work Management</x:v>
      </x:c>
      <x:c r="D14" s="147" t="str">
        <x:f>'Phase 1'!D15</x:f>
        <x:v>Use approved, copy-ready WhatsApp messages for onboarding, missing-information questions, booking-fee explanations, and follow-ups.</x:v>
      </x:c>
      <x:c r="E14" s="147" t="str">
        <x:f>'Phase 1'!E15</x:f>
        <x:v>A controlled client-intake process with reusable traveller records, clear ownership, reminders, and role-based access.</x:v>
      </x:c>
      <x:c r="F14" s="147" t="str">
        <x:f>'Phase 1'!F15</x:f>
        <x:v>Offshore Intake Employee; Travel Agent</x:v>
      </x:c>
      <x:c r="G14" s="147" t="str">
        <x:f>'Phase 1'!G15</x:f>
        <x:v>Must Have</x:v>
      </x:c>
      <x:c r="H14" s="169" t="str">
        <x:f>'Phase 1'!H15</x:f>
        <x:v>To Be Confirmed</x:v>
      </x:c>
      <x:c r="I14" s="169" t="str">
        <x:f>'Phase 1'!I15</x:f>
        <x:v>Phase 1 — Client Intake and Daily Work Management</x:v>
      </x:c>
      <x:c r="J14" s="147" t="str">
        <x:f>'Phase 1'!J15</x:f>
        <x:v>Foundation for every later phase.</x:v>
      </x:c>
      <x:c r="K14" s="169" t="str">
        <x:f>'Phase 1'!K15</x:f>
        <x:v>Keep as proposed</x:v>
      </x:c>
      <x:c r="L14" s="170" t="str">
        <x:f>'Phase 1'!L15</x:f>
        <x:v>Pending project review</x:v>
      </x:c>
      <x:c r="M14" s="169" t="str">
        <x:f>IF('Phase 1'!M15="","",'Phase 1'!M15)</x:f>
      </x:c>
    </x:row>
    <x:row r="15" ht="56" customHeight="1">
      <x:c r="A15" s="168" t="str">
        <x:f>'Phase 1'!A16</x:f>
        <x:v>P1-10</x:v>
      </x:c>
      <x:c r="B15" s="168" t="str">
        <x:f>'Phase 1'!B16</x:f>
        <x:v>Phase 1</x:v>
      </x:c>
      <x:c r="C15" s="168" t="str">
        <x:f>'Phase 1'!C16</x:f>
        <x:v>Client Intake and Daily Work Management</x:v>
      </x:c>
      <x:c r="D15" s="147" t="str">
        <x:f>'Phase 1'!D16</x:f>
        <x:v>Set a preferred representative and a secondary representative for each client. If neither is available, route the request to another available team member.</x:v>
      </x:c>
      <x:c r="E15" s="147" t="str">
        <x:f>'Phase 1'!E16</x:f>
        <x:v>A controlled client-intake process with reusable traveller records, clear ownership, reminders, and role-based access.</x:v>
      </x:c>
      <x:c r="F15" s="147" t="str">
        <x:f>'Phase 1'!F16</x:f>
        <x:v>Supervisor / Manager</x:v>
      </x:c>
      <x:c r="G15" s="147" t="str">
        <x:f>'Phase 1'!G16</x:f>
        <x:v>Must Have</x:v>
      </x:c>
      <x:c r="H15" s="169" t="str">
        <x:f>'Phase 1'!H16</x:f>
        <x:v>To Be Confirmed</x:v>
      </x:c>
      <x:c r="I15" s="169" t="str">
        <x:f>'Phase 1'!I16</x:f>
        <x:v>Phase 1 — Client Intake and Daily Work Management</x:v>
      </x:c>
      <x:c r="J15" s="147" t="str">
        <x:f>'Phase 1'!J16</x:f>
        <x:v>Foundation for every later phase.</x:v>
      </x:c>
      <x:c r="K15" s="169" t="str">
        <x:f>'Phase 1'!K16</x:f>
        <x:v>Keep as proposed</x:v>
      </x:c>
      <x:c r="L15" s="170" t="str">
        <x:f>'Phase 1'!L16</x:f>
        <x:v>Pending project review</x:v>
      </x:c>
      <x:c r="M15" s="169" t="str">
        <x:f>IF('Phase 1'!M16="","",'Phase 1'!M16)</x:f>
      </x:c>
    </x:row>
    <x:row r="16" ht="56" customHeight="1">
      <x:c r="A16" s="168" t="str">
        <x:f>'Phase 1'!A17</x:f>
        <x:v>P1-11</x:v>
      </x:c>
      <x:c r="B16" s="168" t="str">
        <x:f>'Phase 1'!B17</x:f>
        <x:v>Phase 1</x:v>
      </x:c>
      <x:c r="C16" s="168" t="str">
        <x:f>'Phase 1'!C17</x:f>
        <x:v>Client Intake and Daily Work Management</x:v>
      </x:c>
      <x:c r="D16" s="147" t="str">
        <x:f>'Phase 1'!D17</x:f>
        <x:v>Store important notes, documents, and communication history with the correct client and request.</x:v>
      </x:c>
      <x:c r="E16" s="147" t="str">
        <x:f>'Phase 1'!E17</x:f>
        <x:v>A controlled client-intake process with reusable traveller records, clear ownership, reminders, and role-based access.</x:v>
      </x:c>
      <x:c r="F16" s="147" t="str">
        <x:f>'Phase 1'!F17</x:f>
        <x:v>Offshore Intake Employee; Travel Agent</x:v>
      </x:c>
      <x:c r="G16" s="147" t="str">
        <x:f>'Phase 1'!G17</x:f>
        <x:v>Must Have</x:v>
      </x:c>
      <x:c r="H16" s="169" t="str">
        <x:f>'Phase 1'!H17</x:f>
        <x:v>To Be Confirmed</x:v>
      </x:c>
      <x:c r="I16" s="169" t="str">
        <x:f>'Phase 1'!I17</x:f>
        <x:v>Phase 1 — Client Intake and Daily Work Management</x:v>
      </x:c>
      <x:c r="J16" s="147" t="str">
        <x:f>'Phase 1'!J17</x:f>
        <x:v>Foundation for every later phase.</x:v>
      </x:c>
      <x:c r="K16" s="169" t="str">
        <x:f>'Phase 1'!K17</x:f>
        <x:v>Keep as proposed</x:v>
      </x:c>
      <x:c r="L16" s="170" t="str">
        <x:f>'Phase 1'!L17</x:f>
        <x:v>Pending project review</x:v>
      </x:c>
      <x:c r="M16" s="169" t="str">
        <x:f>IF('Phase 1'!M17="","",'Phase 1'!M17)</x:f>
      </x:c>
    </x:row>
    <x:row r="17" ht="56" customHeight="1">
      <x:c r="A17" s="168" t="str">
        <x:f>'Phase 1'!A18</x:f>
        <x:v>P1-12</x:v>
      </x:c>
      <x:c r="B17" s="168" t="str">
        <x:f>'Phase 1'!B18</x:f>
        <x:v>Phase 1</x:v>
      </x:c>
      <x:c r="C17" s="168" t="str">
        <x:f>'Phase 1'!C18</x:f>
        <x:v>Client Intake and Daily Work Management</x:v>
      </x:c>
      <x:c r="D17" s="147" t="str">
        <x:f>'Phase 1'!D18</x:f>
        <x:v>Receive reminders for unanswered inquiries, missing information, and the next required action.</x:v>
      </x:c>
      <x:c r="E17" s="147" t="str">
        <x:f>'Phase 1'!E18</x:f>
        <x:v>A controlled client-intake process with reusable traveller records, clear ownership, reminders, and role-based access.</x:v>
      </x:c>
      <x:c r="F17" s="147" t="str">
        <x:f>'Phase 1'!F18</x:f>
        <x:v>Offshore Intake Employee; Travel Agent</x:v>
      </x:c>
      <x:c r="G17" s="147" t="str">
        <x:f>'Phase 1'!G18</x:f>
        <x:v>Must Have</x:v>
      </x:c>
      <x:c r="H17" s="169" t="str">
        <x:f>'Phase 1'!H18</x:f>
        <x:v>To Be Confirmed</x:v>
      </x:c>
      <x:c r="I17" s="169" t="str">
        <x:f>'Phase 1'!I18</x:f>
        <x:v>Phase 1 — Client Intake and Daily Work Management</x:v>
      </x:c>
      <x:c r="J17" s="147" t="str">
        <x:f>'Phase 1'!J18</x:f>
        <x:v>Foundation for every later phase.</x:v>
      </x:c>
      <x:c r="K17" s="169" t="str">
        <x:f>'Phase 1'!K18</x:f>
        <x:v>Keep as proposed</x:v>
      </x:c>
      <x:c r="L17" s="170" t="str">
        <x:f>'Phase 1'!L18</x:f>
        <x:v>Pending project review</x:v>
      </x:c>
      <x:c r="M17" s="169" t="str">
        <x:f>IF('Phase 1'!M18="","",'Phase 1'!M18)</x:f>
      </x:c>
    </x:row>
    <x:row r="18" ht="56" customHeight="1">
      <x:c r="A18" s="168" t="str">
        <x:f>'Phase 1'!A19</x:f>
        <x:v>P1-13</x:v>
      </x:c>
      <x:c r="B18" s="168" t="str">
        <x:f>'Phase 1'!B19</x:f>
        <x:v>Phase 1</x:v>
      </x:c>
      <x:c r="C18" s="168" t="str">
        <x:f>'Phase 1'!C19</x:f>
        <x:v>Client Intake and Daily Work Management</x:v>
      </x:c>
      <x:c r="D18" s="147" t="str">
        <x:f>'Phase 1'!D19</x:f>
        <x:v>Create an Offshore Intake Employee role that can create and update clients and travellers, complete onboarding, enter WhatsApp requests, prepare copy-ready replies, and assign requests, without ticketing authority.</x:v>
      </x:c>
      <x:c r="E18" s="147" t="str">
        <x:f>'Phase 1'!E19</x:f>
        <x:v>A controlled client-intake process with reusable traveller records, clear ownership, reminders, and role-based access.</x:v>
      </x:c>
      <x:c r="F18" s="147" t="str">
        <x:f>'Phase 1'!F19</x:f>
        <x:v>Offshore Intake Employee; Travel Agent</x:v>
      </x:c>
      <x:c r="G18" s="147" t="str">
        <x:f>'Phase 1'!G19</x:f>
        <x:v>Must Have</x:v>
      </x:c>
      <x:c r="H18" s="169" t="str">
        <x:f>'Phase 1'!H19</x:f>
        <x:v>To Be Confirmed</x:v>
      </x:c>
      <x:c r="I18" s="169" t="str">
        <x:f>'Phase 1'!I19</x:f>
        <x:v>Phase 1 — Client Intake and Daily Work Management</x:v>
      </x:c>
      <x:c r="J18" s="147" t="str">
        <x:f>'Phase 1'!J19</x:f>
        <x:v>Foundation for every later phase.</x:v>
      </x:c>
      <x:c r="K18" s="169" t="str">
        <x:f>'Phase 1'!K19</x:f>
        <x:v>Keep as proposed</x:v>
      </x:c>
      <x:c r="L18" s="170" t="str">
        <x:f>'Phase 1'!L19</x:f>
        <x:v>Pending project review</x:v>
      </x:c>
      <x:c r="M18" s="169" t="str">
        <x:f>IF('Phase 1'!M19="","",'Phase 1'!M19)</x:f>
      </x:c>
    </x:row>
    <x:row r="19" ht="56" customHeight="1">
      <x:c r="A19" s="168" t="str">
        <x:f>'Phase 1'!A20</x:f>
        <x:v>P1-14</x:v>
      </x:c>
      <x:c r="B19" s="168" t="str">
        <x:f>'Phase 1'!B20</x:f>
        <x:v>Phase 1</x:v>
      </x:c>
      <x:c r="C19" s="168" t="str">
        <x:f>'Phase 1'!C20</x:f>
        <x:v>Client Intake and Daily Work Management</x:v>
      </x:c>
      <x:c r="D19" s="147" t="str">
        <x:f>'Phase 1'!D20</x:f>
        <x:v>Create a Travel Agent role that can manage assigned requests, research and prepare options, create reservation holds, communicate with clients, and prepare bookings for ticketing.</x:v>
      </x:c>
      <x:c r="E19" s="147" t="str">
        <x:f>'Phase 1'!E20</x:f>
        <x:v>A controlled client-intake process with reusable traveller records, clear ownership, reminders, and role-based access.</x:v>
      </x:c>
      <x:c r="F19" s="147" t="str">
        <x:f>'Phase 1'!F20</x:f>
        <x:v>Travel Agent</x:v>
      </x:c>
      <x:c r="G19" s="147" t="str">
        <x:f>'Phase 1'!G20</x:f>
        <x:v>Must Have</x:v>
      </x:c>
      <x:c r="H19" s="169" t="str">
        <x:f>'Phase 1'!H20</x:f>
        <x:v>To Be Confirmed</x:v>
      </x:c>
      <x:c r="I19" s="169" t="str">
        <x:f>'Phase 1'!I20</x:f>
        <x:v>Phase 1 — Client Intake and Daily Work Management</x:v>
      </x:c>
      <x:c r="J19" s="147" t="str">
        <x:f>'Phase 1'!J20</x:f>
        <x:v>Foundation for every later phase.</x:v>
      </x:c>
      <x:c r="K19" s="169" t="str">
        <x:f>'Phase 1'!K20</x:f>
        <x:v>Keep as proposed</x:v>
      </x:c>
      <x:c r="L19" s="170" t="str">
        <x:f>'Phase 1'!L20</x:f>
        <x:v>Pending project review</x:v>
      </x:c>
      <x:c r="M19" s="169" t="str">
        <x:f>IF('Phase 1'!M20="","",'Phase 1'!M20)</x:f>
      </x:c>
    </x:row>
    <x:row r="20" ht="56" customHeight="1">
      <x:c r="A20" s="168" t="str">
        <x:f>'Phase 1'!A21</x:f>
        <x:v>P1-15</x:v>
      </x:c>
      <x:c r="B20" s="168" t="str">
        <x:f>'Phase 1'!B21</x:f>
        <x:v>Phase 1</x:v>
      </x:c>
      <x:c r="C20" s="168" t="str">
        <x:f>'Phase 1'!C21</x:f>
        <x:v>Client Intake and Daily Work Management</x:v>
      </x:c>
      <x:c r="D20" s="147" t="str">
        <x:f>'Phase 1'!D21</x:f>
        <x:v>Create a Supervisor / Manager role that can monitor workloads, reassign requests, approve exceptions and markups, review reports, and approve permitted sensitive actions.</x:v>
      </x:c>
      <x:c r="E20" s="147" t="str">
        <x:f>'Phase 1'!E21</x:f>
        <x:v>A controlled client-intake process with reusable traveller records, clear ownership, reminders, and role-based access.</x:v>
      </x:c>
      <x:c r="F20" s="147" t="str">
        <x:f>'Phase 1'!F21</x:f>
        <x:v>Supervisor / Manager</x:v>
      </x:c>
      <x:c r="G20" s="147" t="str">
        <x:f>'Phase 1'!G21</x:f>
        <x:v>Must Have</x:v>
      </x:c>
      <x:c r="H20" s="169" t="str">
        <x:f>'Phase 1'!H21</x:f>
        <x:v>To Be Confirmed</x:v>
      </x:c>
      <x:c r="I20" s="169" t="str">
        <x:f>'Phase 1'!I21</x:f>
        <x:v>Phase 1 — Client Intake and Daily Work Management</x:v>
      </x:c>
      <x:c r="J20" s="147" t="str">
        <x:f>'Phase 1'!J21</x:f>
        <x:v>Foundation for every later phase.</x:v>
      </x:c>
      <x:c r="K20" s="169" t="str">
        <x:f>'Phase 1'!K21</x:f>
        <x:v>Keep as proposed</x:v>
      </x:c>
      <x:c r="L20" s="170" t="str">
        <x:f>'Phase 1'!L21</x:f>
        <x:v>Pending project review</x:v>
      </x:c>
      <x:c r="M20" s="169" t="str">
        <x:f>IF('Phase 1'!M21="","",'Phase 1'!M21)</x:f>
      </x:c>
    </x:row>
    <x:row r="21" ht="56" customHeight="1">
      <x:c r="A21" s="168" t="str">
        <x:f>'Phase 1'!A22</x:f>
        <x:v>P1-16</x:v>
      </x:c>
      <x:c r="B21" s="168" t="str">
        <x:f>'Phase 1'!B22</x:f>
        <x:v>Phase 1</x:v>
      </x:c>
      <x:c r="C21" s="168" t="str">
        <x:f>'Phase 1'!C22</x:f>
        <x:v>Client Intake and Daily Work Management</x:v>
      </x:c>
      <x:c r="D21" s="147" t="str">
        <x:f>'Phase 1'!D22</x:f>
        <x:v>Create a Ticketing Agent role that can verify passenger, booking, and payment details and perform authorized ticket issuance, reissue, void, exchange, or refund actions.</x:v>
      </x:c>
      <x:c r="E21" s="147" t="str">
        <x:f>'Phase 1'!E22</x:f>
        <x:v>A controlled client-intake process with reusable traveller records, clear ownership, reminders, and role-based access.</x:v>
      </x:c>
      <x:c r="F21" s="147" t="str">
        <x:f>'Phase 1'!F22</x:f>
        <x:v>Ticketing Agent</x:v>
      </x:c>
      <x:c r="G21" s="147" t="str">
        <x:f>'Phase 1'!G22</x:f>
        <x:v>Must Have</x:v>
      </x:c>
      <x:c r="H21" s="169" t="str">
        <x:f>'Phase 1'!H22</x:f>
        <x:v>To Be Confirmed</x:v>
      </x:c>
      <x:c r="I21" s="169" t="str">
        <x:f>'Phase 1'!I22</x:f>
        <x:v>Phase 1 — Client Intake and Daily Work Management</x:v>
      </x:c>
      <x:c r="J21" s="147" t="str">
        <x:f>'Phase 1'!J22</x:f>
        <x:v>Foundation for every later phase.</x:v>
      </x:c>
      <x:c r="K21" s="169" t="str">
        <x:f>'Phase 1'!K22</x:f>
        <x:v>Keep as proposed</x:v>
      </x:c>
      <x:c r="L21" s="170" t="str">
        <x:f>'Phase 1'!L22</x:f>
        <x:v>Pending project review</x:v>
      </x:c>
      <x:c r="M21" s="169" t="str">
        <x:f>IF('Phase 1'!M22="","",'Phase 1'!M22)</x:f>
      </x:c>
    </x:row>
    <x:row r="22" ht="56" customHeight="1">
      <x:c r="A22" s="168" t="str">
        <x:f>'Phase 1'!A23</x:f>
        <x:v>P1-17</x:v>
      </x:c>
      <x:c r="B22" s="168" t="str">
        <x:f>'Phase 1'!B23</x:f>
        <x:v>Phase 1</x:v>
      </x:c>
      <x:c r="C22" s="168" t="str">
        <x:f>'Phase 1'!C23</x:f>
        <x:v>Client Intake and Daily Work Management</x:v>
      </x:c>
      <x:c r="D22" s="147" t="str">
        <x:f>'Phase 1'!D23</x:f>
        <x:v>Create a Finance User role that can manage invoices, payments, credits, refunds, and reconciliation without changing ticket operations unless separately authorized.</x:v>
      </x:c>
      <x:c r="E22" s="147" t="str">
        <x:f>'Phase 1'!E23</x:f>
        <x:v>A controlled client-intake process with reusable traveller records, clear ownership, reminders, and role-based access.</x:v>
      </x:c>
      <x:c r="F22" s="147" t="str">
        <x:f>'Phase 1'!F23</x:f>
        <x:v>Finance User</x:v>
      </x:c>
      <x:c r="G22" s="147" t="str">
        <x:f>'Phase 1'!G23</x:f>
        <x:v>Must Have</x:v>
      </x:c>
      <x:c r="H22" s="169" t="str">
        <x:f>'Phase 1'!H23</x:f>
        <x:v>To Be Confirmed</x:v>
      </x:c>
      <x:c r="I22" s="169" t="str">
        <x:f>'Phase 1'!I23</x:f>
        <x:v>Phase 1 — Client Intake and Daily Work Management</x:v>
      </x:c>
      <x:c r="J22" s="147" t="str">
        <x:f>'Phase 1'!J23</x:f>
        <x:v>Foundation for every later phase.</x:v>
      </x:c>
      <x:c r="K22" s="169" t="str">
        <x:f>'Phase 1'!K23</x:f>
        <x:v>Keep as proposed</x:v>
      </x:c>
      <x:c r="L22" s="170" t="str">
        <x:f>'Phase 1'!L23</x:f>
        <x:v>Pending project review</x:v>
      </x:c>
      <x:c r="M22" s="169" t="str">
        <x:f>IF('Phase 1'!M23="","",'Phase 1'!M23)</x:f>
      </x:c>
    </x:row>
    <x:row r="23" ht="56" customHeight="1">
      <x:c r="A23" s="168" t="str">
        <x:f>'Phase 1'!A24</x:f>
        <x:v>P1-18</x:v>
      </x:c>
      <x:c r="B23" s="168" t="str">
        <x:f>'Phase 1'!B24</x:f>
        <x:v>Phase 1</x:v>
      </x:c>
      <x:c r="C23" s="168" t="str">
        <x:f>'Phase 1'!C24</x:f>
        <x:v>Client Intake and Daily Work Management</x:v>
      </x:c>
      <x:c r="D23" s="147" t="str">
        <x:f>'Phase 1'!D24</x:f>
        <x:v>Create a System Administrator role that can create users, assign roles and permissions, manage settings and integrations, and review access history without automatically receiving finance or ticketing authority.</x:v>
      </x:c>
      <x:c r="E23" s="147" t="str">
        <x:f>'Phase 1'!E24</x:f>
        <x:v>A controlled client-intake process with reusable traveller records, clear ownership, reminders, and role-based access.</x:v>
      </x:c>
      <x:c r="F23" s="147" t="str">
        <x:f>'Phase 1'!F24</x:f>
        <x:v>System Administrator</x:v>
      </x:c>
      <x:c r="G23" s="147" t="str">
        <x:f>'Phase 1'!G24</x:f>
        <x:v>Must Have</x:v>
      </x:c>
      <x:c r="H23" s="169" t="str">
        <x:f>'Phase 1'!H24</x:f>
        <x:v>To Be Confirmed</x:v>
      </x:c>
      <x:c r="I23" s="169" t="str">
        <x:f>'Phase 1'!I24</x:f>
        <x:v>Phase 1 — Client Intake and Daily Work Management</x:v>
      </x:c>
      <x:c r="J23" s="147" t="str">
        <x:f>'Phase 1'!J24</x:f>
        <x:v>Foundation for every later phase.</x:v>
      </x:c>
      <x:c r="K23" s="169" t="str">
        <x:f>'Phase 1'!K24</x:f>
        <x:v>Keep as proposed</x:v>
      </x:c>
      <x:c r="L23" s="170" t="str">
        <x:f>'Phase 1'!L24</x:f>
        <x:v>Pending project review</x:v>
      </x:c>
      <x:c r="M23" s="169" t="str">
        <x:f>IF('Phase 1'!M24="","",'Phase 1'!M24)</x:f>
      </x:c>
    </x:row>
    <x:row r="24" ht="56" customHeight="1">
      <x:c r="A24" s="168" t="str">
        <x:f>'Phase 1'!A25</x:f>
        <x:v>P1-19</x:v>
      </x:c>
      <x:c r="B24" s="168" t="str">
        <x:f>'Phase 1'!B25</x:f>
        <x:v>Phase 1</x:v>
      </x:c>
      <x:c r="C24" s="168" t="str">
        <x:f>'Phase 1'!C25</x:f>
        <x:v>Client Intake and Daily Work Management</x:v>
      </x:c>
      <x:c r="D24" s="147" t="str">
        <x:f>'Phase 1'!D25</x:f>
        <x:v>Allow each staff member to see and perform only the actions permitted by their assigned role or roles.</x:v>
      </x:c>
      <x:c r="E24" s="147" t="str">
        <x:f>'Phase 1'!E25</x:f>
        <x:v>A controlled client-intake process with reusable traveller records, clear ownership, reminders, and role-based access.</x:v>
      </x:c>
      <x:c r="F24" s="147" t="str">
        <x:f>'Phase 1'!F25</x:f>
        <x:v>System Administrator</x:v>
      </x:c>
      <x:c r="G24" s="147" t="str">
        <x:f>'Phase 1'!G25</x:f>
        <x:v>Must Have</x:v>
      </x:c>
      <x:c r="H24" s="169" t="str">
        <x:f>'Phase 1'!H25</x:f>
        <x:v>To Be Confirmed</x:v>
      </x:c>
      <x:c r="I24" s="169" t="str">
        <x:f>'Phase 1'!I25</x:f>
        <x:v>Phase 1 — Client Intake and Daily Work Management</x:v>
      </x:c>
      <x:c r="J24" s="147" t="str">
        <x:f>'Phase 1'!J25</x:f>
        <x:v>Foundation for every later phase.</x:v>
      </x:c>
      <x:c r="K24" s="169" t="str">
        <x:f>'Phase 1'!K25</x:f>
        <x:v>Keep as proposed</x:v>
      </x:c>
      <x:c r="L24" s="170" t="str">
        <x:f>'Phase 1'!L25</x:f>
        <x:v>Pending project review</x:v>
      </x:c>
      <x:c r="M24" s="169" t="str">
        <x:f>IF('Phase 1'!M25="","",'Phase 1'!M25)</x:f>
      </x:c>
    </x:row>
    <x:row r="25" ht="56" customHeight="1">
      <x:c r="A25" s="168" t="str">
        <x:f>'Phase 1'!A26</x:f>
        <x:v>P1-20</x:v>
      </x:c>
      <x:c r="B25" s="168" t="str">
        <x:f>'Phase 1'!B26</x:f>
        <x:v>Phase 1</x:v>
      </x:c>
      <x:c r="C25" s="168" t="str">
        <x:f>'Phase 1'!C26</x:f>
        <x:v>Client Intake and Daily Work Management</x:v>
      </x:c>
      <x:c r="D25" s="147" t="str">
        <x:f>'Phase 1'!D26</x:f>
        <x:v>Allow one employee to hold more than one role when required, while assigning high-risk permissions explicitly.</x:v>
      </x:c>
      <x:c r="E25" s="147" t="str">
        <x:f>'Phase 1'!E26</x:f>
        <x:v>A controlled client-intake process with reusable traveller records, clear ownership, reminders, and role-based access.</x:v>
      </x:c>
      <x:c r="F25" s="147" t="str">
        <x:f>'Phase 1'!F26</x:f>
        <x:v>System Administrator</x:v>
      </x:c>
      <x:c r="G25" s="147" t="str">
        <x:f>'Phase 1'!G26</x:f>
        <x:v>Must Have</x:v>
      </x:c>
      <x:c r="H25" s="169" t="str">
        <x:f>'Phase 1'!H26</x:f>
        <x:v>To Be Confirmed</x:v>
      </x:c>
      <x:c r="I25" s="169" t="str">
        <x:f>'Phase 1'!I26</x:f>
        <x:v>Phase 1 — Client Intake and Daily Work Management</x:v>
      </x:c>
      <x:c r="J25" s="147" t="str">
        <x:f>'Phase 1'!J26</x:f>
        <x:v>Foundation for every later phase.</x:v>
      </x:c>
      <x:c r="K25" s="169" t="str">
        <x:f>'Phase 1'!K26</x:f>
        <x:v>Keep as proposed</x:v>
      </x:c>
      <x:c r="L25" s="170" t="str">
        <x:f>'Phase 1'!L26</x:f>
        <x:v>Pending project review</x:v>
      </x:c>
      <x:c r="M25" s="169" t="str">
        <x:f>IF('Phase 1'!M26="","",'Phase 1'!M26)</x:f>
      </x:c>
    </x:row>
    <x:row r="26" ht="56" customHeight="1">
      <x:c r="A26" s="168" t="str">
        <x:f>'Phase 1'!A27</x:f>
        <x:v>P1-21</x:v>
      </x:c>
      <x:c r="B26" s="168" t="str">
        <x:f>'Phase 1'!B27</x:f>
        <x:v>Phase 1</x:v>
      </x:c>
      <x:c r="C26" s="168" t="str">
        <x:f>'Phase 1'!C27</x:f>
        <x:v>Client Intake and Daily Work Management</x:v>
      </x:c>
      <x:c r="D26" s="147" t="str">
        <x:f>'Phase 1'!D27</x:f>
        <x:v>See all open client requests and their current status in one place.</x:v>
      </x:c>
      <x:c r="E26" s="147" t="str">
        <x:f>'Phase 1'!E27</x:f>
        <x:v>A controlled client-intake process with reusable traveller records, clear ownership, reminders, and role-based access.</x:v>
      </x:c>
      <x:c r="F26" s="147" t="str">
        <x:f>'Phase 1'!F27</x:f>
        <x:v>Offshore Intake Employee; Travel Agent</x:v>
      </x:c>
      <x:c r="G26" s="147" t="str">
        <x:f>'Phase 1'!G27</x:f>
        <x:v>Must Have</x:v>
      </x:c>
      <x:c r="H26" s="169" t="str">
        <x:f>'Phase 1'!H27</x:f>
        <x:v>To Be Confirmed</x:v>
      </x:c>
      <x:c r="I26" s="169" t="str">
        <x:f>'Phase 1'!I27</x:f>
        <x:v>Phase 1 — Client Intake and Daily Work Management</x:v>
      </x:c>
      <x:c r="J26" s="147" t="str">
        <x:f>'Phase 1'!J27</x:f>
        <x:v>Foundation for every later phase.</x:v>
      </x:c>
      <x:c r="K26" s="169" t="str">
        <x:f>'Phase 1'!K27</x:f>
        <x:v>Keep as proposed</x:v>
      </x:c>
      <x:c r="L26" s="170" t="str">
        <x:f>'Phase 1'!L27</x:f>
        <x:v>Pending project review</x:v>
      </x:c>
      <x:c r="M26" s="169" t="str">
        <x:f>IF('Phase 1'!M27="","",'Phase 1'!M27)</x:f>
      </x:c>
    </x:row>
    <x:row r="27" ht="56" customHeight="1">
      <x:c r="A27" s="168" t="str">
        <x:f>'Phase 2'!A7</x:f>
        <x:v>P2-01</x:v>
      </x:c>
      <x:c r="B27" s="168" t="str">
        <x:f>'Phase 2'!B7</x:f>
        <x:v>Phase 2</x:v>
      </x:c>
      <x:c r="C27" s="168" t="str">
        <x:f>'Phase 2'!C7</x:f>
        <x:v>Flight Research, Quotes, Payment, and Booking</x:v>
      </x:c>
      <x:c r="D27" s="147" t="str">
        <x:f>'Phase 2'!D7</x:f>
        <x:v>Create a travel request for one or more saved travellers.</x:v>
      </x:c>
      <x:c r="E27" s="147" t="str">
        <x:f>'Phase 2'!E7</x:f>
        <x:v>A complete, traceable workflow from travel request through quotation, client decision, payment confirmation, and handoff to ticketing.</x:v>
      </x:c>
      <x:c r="F27" s="147" t="str">
        <x:f>'Phase 2'!F7</x:f>
        <x:v>Travel Agent</x:v>
      </x:c>
      <x:c r="G27" s="147" t="str">
        <x:f>'Phase 2'!G7</x:f>
        <x:v>Must Have</x:v>
      </x:c>
      <x:c r="H27" s="169" t="str">
        <x:f>'Phase 2'!H7</x:f>
        <x:v>To Be Confirmed</x:v>
      </x:c>
      <x:c r="I27" s="169" t="str">
        <x:f>'Phase 2'!I7</x:f>
        <x:v>Phase 2 — Flight Research, Quotes, Payment, and Booking</x:v>
      </x:c>
      <x:c r="J27" s="147" t="str">
        <x:f>'Phase 2'!J7</x:f>
        <x:v>Requires the client, traveller, ownership, and permission foundation from Phase 1.</x:v>
      </x:c>
      <x:c r="K27" s="169" t="str">
        <x:f>'Phase 2'!K7</x:f>
        <x:v>Keep as proposed</x:v>
      </x:c>
      <x:c r="L27" s="170" t="str">
        <x:f>'Phase 2'!L7</x:f>
        <x:v>Pending project review</x:v>
      </x:c>
      <x:c r="M27" s="169" t="str">
        <x:f>IF('Phase 2'!M7="","",'Phase 2'!M7)</x:f>
      </x:c>
    </x:row>
    <x:row r="28" ht="56" customHeight="1">
      <x:c r="A28" s="168" t="str">
        <x:f>'Phase 2'!A8</x:f>
        <x:v>P2-02</x:v>
      </x:c>
      <x:c r="B28" s="168" t="str">
        <x:f>'Phase 2'!B8</x:f>
        <x:v>Phase 2</x:v>
      </x:c>
      <x:c r="C28" s="168" t="str">
        <x:f>'Phase 2'!C8</x:f>
        <x:v>Flight Research, Quotes, Payment, and Booking</x:v>
      </x:c>
      <x:c r="D28" s="147" t="str">
        <x:f>'Phase 2'!D8</x:f>
        <x:v>Record the departure airport, destination, travel dates, cabin class, date flexibility, airline preferences, and special requests.</x:v>
      </x:c>
      <x:c r="E28" s="147" t="str">
        <x:f>'Phase 2'!E8</x:f>
        <x:v>A complete, traceable workflow from travel request through quotation, client decision, payment confirmation, and handoff to ticketing.</x:v>
      </x:c>
      <x:c r="F28" s="147" t="str">
        <x:f>'Phase 2'!F8</x:f>
        <x:v>Travel Agent</x:v>
      </x:c>
      <x:c r="G28" s="147" t="str">
        <x:f>'Phase 2'!G8</x:f>
        <x:v>Must Have</x:v>
      </x:c>
      <x:c r="H28" s="169" t="str">
        <x:f>'Phase 2'!H8</x:f>
        <x:v>To Be Confirmed</x:v>
      </x:c>
      <x:c r="I28" s="169" t="str">
        <x:f>'Phase 2'!I8</x:f>
        <x:v>Phase 2 — Flight Research, Quotes, Payment, and Booking</x:v>
      </x:c>
      <x:c r="J28" s="147" t="str">
        <x:f>'Phase 2'!J8</x:f>
        <x:v>Requires the client, traveller, ownership, and permission foundation from Phase 1.</x:v>
      </x:c>
      <x:c r="K28" s="169" t="str">
        <x:f>'Phase 2'!K8</x:f>
        <x:v>Keep as proposed</x:v>
      </x:c>
      <x:c r="L28" s="170" t="str">
        <x:f>'Phase 2'!L8</x:f>
        <x:v>Pending project review</x:v>
      </x:c>
      <x:c r="M28" s="169" t="str">
        <x:f>IF('Phase 2'!M8="","",'Phase 2'!M8)</x:f>
      </x:c>
    </x:row>
    <x:row r="29" ht="56" customHeight="1">
      <x:c r="A29" s="168" t="str">
        <x:f>'Phase 2'!A9</x:f>
        <x:v>P2-03</x:v>
      </x:c>
      <x:c r="B29" s="168" t="str">
        <x:f>'Phase 2'!B9</x:f>
        <x:v>Phase 2</x:v>
      </x:c>
      <x:c r="C29" s="168" t="str">
        <x:f>'Phase 2'!C9</x:f>
        <x:v>Flight Research, Quotes, Payment, and Booking</x:v>
      </x:c>
      <x:c r="D29" s="147" t="str">
        <x:f>'Phase 2'!D9</x:f>
        <x:v>Use the WhatsApp-to-Chat assistant after the core Phase 1 workflow is stable.</x:v>
      </x:c>
      <x:c r="E29" s="147" t="str">
        <x:f>'Phase 2'!E9</x:f>
        <x:v>A complete, traceable workflow from travel request through quotation, client decision, payment confirmation, and handoff to ticketing.</x:v>
      </x:c>
      <x:c r="F29" s="147" t="str">
        <x:f>'Phase 2'!F9</x:f>
        <x:v>Travel Agent</x:v>
      </x:c>
      <x:c r="G29" s="147" t="str">
        <x:f>'Phase 2'!G9</x:f>
        <x:v>High</x:v>
      </x:c>
      <x:c r="H29" s="169" t="str">
        <x:f>'Phase 2'!H9</x:f>
        <x:v>To Be Confirmed</x:v>
      </x:c>
      <x:c r="I29" s="169" t="str">
        <x:f>'Phase 2'!I9</x:f>
        <x:v>Phase 2 — Flight Research, Quotes, Payment, and Booking</x:v>
      </x:c>
      <x:c r="J29" s="147" t="str">
        <x:f>'Phase 2'!J9</x:f>
        <x:v>Requires the client, traveller, ownership, and permission foundation from Phase 1.</x:v>
      </x:c>
      <x:c r="K29" s="169" t="str">
        <x:f>'Phase 2'!K9</x:f>
        <x:v>Keep as proposed</x:v>
      </x:c>
      <x:c r="L29" s="170" t="str">
        <x:f>'Phase 2'!L9</x:f>
        <x:v>Pending project review</x:v>
      </x:c>
      <x:c r="M29" s="169" t="str">
        <x:f>IF('Phase 2'!M9="","",'Phase 2'!M9)</x:f>
      </x:c>
    </x:row>
    <x:row r="30" ht="56" customHeight="1">
      <x:c r="A30" s="168" t="str">
        <x:f>'Phase 2'!A10</x:f>
        <x:v>P2-04</x:v>
      </x:c>
      <x:c r="B30" s="168" t="str">
        <x:f>'Phase 2'!B10</x:f>
        <x:v>Phase 2</x:v>
      </x:c>
      <x:c r="C30" s="168" t="str">
        <x:f>'Phase 2'!C10</x:f>
        <x:v>Flight Research, Quotes, Payment, and Booking</x:v>
      </x:c>
      <x:c r="D30" s="147" t="str">
        <x:f>'Phase 2'!D10</x:f>
        <x:v>Paste a client’s WhatsApp message into the assistant.</x:v>
      </x:c>
      <x:c r="E30" s="147" t="str">
        <x:f>'Phase 2'!E10</x:f>
        <x:v>A complete, traceable workflow from travel request through quotation, client decision, payment confirmation, and handoff to ticketing.</x:v>
      </x:c>
      <x:c r="F30" s="147" t="str">
        <x:f>'Phase 2'!F10</x:f>
        <x:v>Travel Agent</x:v>
      </x:c>
      <x:c r="G30" s="147" t="str">
        <x:f>'Phase 2'!G10</x:f>
        <x:v>Must Have</x:v>
      </x:c>
      <x:c r="H30" s="169" t="str">
        <x:f>'Phase 2'!H10</x:f>
        <x:v>To Be Confirmed</x:v>
      </x:c>
      <x:c r="I30" s="169" t="str">
        <x:f>'Phase 2'!I10</x:f>
        <x:v>Phase 2 — Flight Research, Quotes, Payment, and Booking</x:v>
      </x:c>
      <x:c r="J30" s="147" t="str">
        <x:f>'Phase 2'!J10</x:f>
        <x:v>Requires the client, traveller, ownership, and permission foundation from Phase 1.</x:v>
      </x:c>
      <x:c r="K30" s="169" t="str">
        <x:f>'Phase 2'!K10</x:f>
        <x:v>Keep as proposed</x:v>
      </x:c>
      <x:c r="L30" s="170" t="str">
        <x:f>'Phase 2'!L10</x:f>
        <x:v>Pending project review</x:v>
      </x:c>
      <x:c r="M30" s="169" t="str">
        <x:f>IF('Phase 2'!M10="","",'Phase 2'!M10)</x:f>
      </x:c>
    </x:row>
    <x:row r="31" ht="56" customHeight="1">
      <x:c r="A31" s="168" t="str">
        <x:f>'Phase 2'!A11</x:f>
        <x:v>P2-05</x:v>
      </x:c>
      <x:c r="B31" s="168" t="str">
        <x:f>'Phase 2'!B11</x:f>
        <x:v>Phase 2</x:v>
      </x:c>
      <x:c r="C31" s="168" t="str">
        <x:f>'Phase 2'!C11</x:f>
        <x:v>Flight Research, Quotes, Payment, and Booking</x:v>
      </x:c>
      <x:c r="D31" s="147" t="str">
        <x:f>'Phase 2'!D11</x:f>
        <x:v>Ask the assistant to create a draft client, traveller, and travel request from the message.</x:v>
      </x:c>
      <x:c r="E31" s="147" t="str">
        <x:f>'Phase 2'!E11</x:f>
        <x:v>A complete, traceable workflow from travel request through quotation, client decision, payment confirmation, and handoff to ticketing.</x:v>
      </x:c>
      <x:c r="F31" s="147" t="str">
        <x:f>'Phase 2'!F11</x:f>
        <x:v>Travel Agent</x:v>
      </x:c>
      <x:c r="G31" s="147" t="str">
        <x:f>'Phase 2'!G11</x:f>
        <x:v>Must Have</x:v>
      </x:c>
      <x:c r="H31" s="169" t="str">
        <x:f>'Phase 2'!H11</x:f>
        <x:v>To Be Confirmed</x:v>
      </x:c>
      <x:c r="I31" s="169" t="str">
        <x:f>'Phase 2'!I11</x:f>
        <x:v>Phase 2 — Flight Research, Quotes, Payment, and Booking</x:v>
      </x:c>
      <x:c r="J31" s="147" t="str">
        <x:f>'Phase 2'!J11</x:f>
        <x:v>Requires the client, traveller, ownership, and permission foundation from Phase 1.</x:v>
      </x:c>
      <x:c r="K31" s="169" t="str">
        <x:f>'Phase 2'!K11</x:f>
        <x:v>Keep as proposed</x:v>
      </x:c>
      <x:c r="L31" s="170" t="str">
        <x:f>'Phase 2'!L11</x:f>
        <x:v>Pending project review</x:v>
      </x:c>
      <x:c r="M31" s="169" t="str">
        <x:f>IF('Phase 2'!M11="","",'Phase 2'!M11)</x:f>
      </x:c>
    </x:row>
    <x:row r="32" ht="56" customHeight="1">
      <x:c r="A32" s="168" t="str">
        <x:f>'Phase 2'!A12</x:f>
        <x:v>P2-06</x:v>
      </x:c>
      <x:c r="B32" s="168" t="str">
        <x:f>'Phase 2'!B12</x:f>
        <x:v>Phase 2</x:v>
      </x:c>
      <x:c r="C32" s="168" t="str">
        <x:f>'Phase 2'!C12</x:f>
        <x:v>Flight Research, Quotes, Payment, and Booking</x:v>
      </x:c>
      <x:c r="D32" s="147" t="str">
        <x:f>'Phase 2'!D12</x:f>
        <x:v>Review and correct the draft before saving it.</x:v>
      </x:c>
      <x:c r="E32" s="147" t="str">
        <x:f>'Phase 2'!E12</x:f>
        <x:v>A complete, traceable workflow from travel request through quotation, client decision, payment confirmation, and handoff to ticketing.</x:v>
      </x:c>
      <x:c r="F32" s="147" t="str">
        <x:f>'Phase 2'!F12</x:f>
        <x:v>Travel Agent</x:v>
      </x:c>
      <x:c r="G32" s="147" t="str">
        <x:f>'Phase 2'!G12</x:f>
        <x:v>Must Have</x:v>
      </x:c>
      <x:c r="H32" s="169" t="str">
        <x:f>'Phase 2'!H12</x:f>
        <x:v>To Be Confirmed</x:v>
      </x:c>
      <x:c r="I32" s="169" t="str">
        <x:f>'Phase 2'!I12</x:f>
        <x:v>Phase 2 — Flight Research, Quotes, Payment, and Booking</x:v>
      </x:c>
      <x:c r="J32" s="147" t="str">
        <x:f>'Phase 2'!J12</x:f>
        <x:v>Requires the client, traveller, ownership, and permission foundation from Phase 1.</x:v>
      </x:c>
      <x:c r="K32" s="169" t="str">
        <x:f>'Phase 2'!K12</x:f>
        <x:v>Keep as proposed</x:v>
      </x:c>
      <x:c r="L32" s="170" t="str">
        <x:f>'Phase 2'!L12</x:f>
        <x:v>Pending project review</x:v>
      </x:c>
      <x:c r="M32" s="169" t="str">
        <x:f>IF('Phase 2'!M12="","",'Phase 2'!M12)</x:f>
      </x:c>
    </x:row>
    <x:row r="33" ht="56" customHeight="1">
      <x:c r="A33" s="168" t="str">
        <x:f>'Phase 2'!A13</x:f>
        <x:v>P2-07</x:v>
      </x:c>
      <x:c r="B33" s="168" t="str">
        <x:f>'Phase 2'!B13</x:f>
        <x:v>Phase 2</x:v>
      </x:c>
      <x:c r="C33" s="168" t="str">
        <x:f>'Phase 2'!C13</x:f>
        <x:v>Flight Research, Quotes, Payment, and Booking</x:v>
      </x:c>
      <x:c r="D33" s="147" t="str">
        <x:f>'Phase 2'!D13</x:f>
        <x:v>Review Google Flights manually during initial market research; live availability will be retrieved through Sabre after the Phase 3 connection is available.</x:v>
      </x:c>
      <x:c r="E33" s="147" t="str">
        <x:f>'Phase 2'!E13</x:f>
        <x:v>A complete, traceable workflow from travel request through quotation, client decision, payment confirmation, and handoff to ticketing.</x:v>
      </x:c>
      <x:c r="F33" s="147" t="str">
        <x:f>'Phase 2'!F13</x:f>
        <x:v>Travel Agent</x:v>
      </x:c>
      <x:c r="G33" s="147" t="str">
        <x:f>'Phase 2'!G13</x:f>
        <x:v>Must Have</x:v>
      </x:c>
      <x:c r="H33" s="169" t="str">
        <x:f>'Phase 2'!H13</x:f>
        <x:v>To Be Confirmed</x:v>
      </x:c>
      <x:c r="I33" s="169" t="str">
        <x:f>'Phase 2'!I13</x:f>
        <x:v>Phase 2 — Flight Research, Quotes, Payment, and Booking</x:v>
      </x:c>
      <x:c r="J33" s="147" t="str">
        <x:f>'Phase 2'!J13</x:f>
        <x:v>Requires the client, traveller, ownership, and permission foundation from Phase 1.</x:v>
      </x:c>
      <x:c r="K33" s="169" t="str">
        <x:f>'Phase 2'!K13</x:f>
        <x:v>Keep as proposed</x:v>
      </x:c>
      <x:c r="L33" s="170" t="str">
        <x:f>'Phase 2'!L13</x:f>
        <x:v>Pending project review</x:v>
      </x:c>
      <x:c r="M33" s="169" t="str">
        <x:f>IF('Phase 2'!M13="","",'Phase 2'!M13)</x:f>
      </x:c>
    </x:row>
    <x:row r="34" ht="56" customHeight="1">
      <x:c r="A34" s="168" t="str">
        <x:f>'Phase 2'!A14</x:f>
        <x:v>P2-08</x:v>
      </x:c>
      <x:c r="B34" s="168" t="str">
        <x:f>'Phase 2'!B14</x:f>
        <x:v>Phase 2</x:v>
      </x:c>
      <x:c r="C34" s="168" t="str">
        <x:f>'Phase 2'!C14</x:f>
        <x:v>Flight Research, Quotes, Payment, and Booking</x:v>
      </x:c>
      <x:c r="D34" s="147" t="str">
        <x:f>'Phase 2'!D14</x:f>
        <x:v>Record and clearly identify the price that was verified in Sabre before it is quoted to the client.</x:v>
      </x:c>
      <x:c r="E34" s="147" t="str">
        <x:f>'Phase 2'!E14</x:f>
        <x:v>A complete, traceable workflow from travel request through quotation, client decision, payment confirmation, and handoff to ticketing.</x:v>
      </x:c>
      <x:c r="F34" s="147" t="str">
        <x:f>'Phase 2'!F14</x:f>
        <x:v>Travel Agent</x:v>
      </x:c>
      <x:c r="G34" s="147" t="str">
        <x:f>'Phase 2'!G14</x:f>
        <x:v>Must Have</x:v>
      </x:c>
      <x:c r="H34" s="169" t="str">
        <x:f>'Phase 2'!H14</x:f>
        <x:v>To Be Confirmed</x:v>
      </x:c>
      <x:c r="I34" s="169" t="str">
        <x:f>'Phase 2'!I14</x:f>
        <x:v>Phase 2 — Flight Research, Quotes, Payment, and Booking</x:v>
      </x:c>
      <x:c r="J34" s="147" t="str">
        <x:f>'Phase 2'!J14</x:f>
        <x:v>Requires the client, traveller, ownership, and permission foundation from Phase 1.</x:v>
      </x:c>
      <x:c r="K34" s="169" t="str">
        <x:f>'Phase 2'!K14</x:f>
        <x:v>Keep as proposed</x:v>
      </x:c>
      <x:c r="L34" s="170" t="str">
        <x:f>'Phase 2'!L14</x:f>
        <x:v>Pending project review</x:v>
      </x:c>
      <x:c r="M34" s="169" t="str">
        <x:f>IF('Phase 2'!M14="","",'Phase 2'!M14)</x:f>
      </x:c>
    </x:row>
    <x:row r="35" ht="56" customHeight="1">
      <x:c r="A35" s="168" t="str">
        <x:f>'Phase 2'!A15</x:f>
        <x:v>P2-09</x:v>
      </x:c>
      <x:c r="B35" s="168" t="str">
        <x:f>'Phase 2'!B15</x:f>
        <x:v>Phase 2</x:v>
      </x:c>
      <x:c r="C35" s="168" t="str">
        <x:f>'Phase 2'!C15</x:f>
        <x:v>Flight Research, Quotes, Payment, and Booking</x:v>
      </x:c>
      <x:c r="D35" s="147" t="str">
        <x:f>'Phase 2'!D15</x:f>
        <x:v>Apply the correct Israel and EL AL rules when the trip includes travel to or from Israel.</x:v>
      </x:c>
      <x:c r="E35" s="147" t="str">
        <x:f>'Phase 2'!E15</x:f>
        <x:v>A complete, traceable workflow from travel request through quotation, client decision, payment confirmation, and handoff to ticketing.</x:v>
      </x:c>
      <x:c r="F35" s="147" t="str">
        <x:f>'Phase 2'!F15</x:f>
        <x:v>Travel Agent</x:v>
      </x:c>
      <x:c r="G35" s="147" t="str">
        <x:f>'Phase 2'!G15</x:f>
        <x:v>Must Have</x:v>
      </x:c>
      <x:c r="H35" s="169" t="str">
        <x:f>'Phase 2'!H15</x:f>
        <x:v>To Be Confirmed</x:v>
      </x:c>
      <x:c r="I35" s="169" t="str">
        <x:f>'Phase 2'!I15</x:f>
        <x:v>Phase 2 — Flight Research, Quotes, Payment, and Booking</x:v>
      </x:c>
      <x:c r="J35" s="147" t="str">
        <x:f>'Phase 2'!J15</x:f>
        <x:v>Requires the client, traveller, ownership, and permission foundation from Phase 1.</x:v>
      </x:c>
      <x:c r="K35" s="169" t="str">
        <x:f>'Phase 2'!K15</x:f>
        <x:v>Keep as proposed</x:v>
      </x:c>
      <x:c r="L35" s="170" t="str">
        <x:f>'Phase 2'!L15</x:f>
        <x:v>Pending project review</x:v>
      </x:c>
      <x:c r="M35" s="169" t="str">
        <x:f>IF('Phase 2'!M15="","",'Phase 2'!M15)</x:f>
      </x:c>
    </x:row>
    <x:row r="36" ht="56" customHeight="1">
      <x:c r="A36" s="168" t="str">
        <x:f>'Phase 2'!A16</x:f>
        <x:v>P2-10</x:v>
      </x:c>
      <x:c r="B36" s="168" t="str">
        <x:f>'Phase 2'!B16</x:f>
        <x:v>Phase 2</x:v>
      </x:c>
      <x:c r="C36" s="168" t="str">
        <x:f>'Phase 2'!C16</x:f>
        <x:v>Flight Research, Quotes, Payment, and Booking</x:v>
      </x:c>
      <x:c r="D36" s="147" t="str">
        <x:f>'Phase 2'!D16</x:f>
        <x:v>Create a reservation hold when available and record its ticketing deadline.</x:v>
      </x:c>
      <x:c r="E36" s="147" t="str">
        <x:f>'Phase 2'!E16</x:f>
        <x:v>A complete, traceable workflow from travel request through quotation, client decision, payment confirmation, and handoff to ticketing.</x:v>
      </x:c>
      <x:c r="F36" s="147" t="str">
        <x:f>'Phase 2'!F16</x:f>
        <x:v>Travel Agent; Ticketing Agent</x:v>
      </x:c>
      <x:c r="G36" s="147" t="str">
        <x:f>'Phase 2'!G16</x:f>
        <x:v>Must Have</x:v>
      </x:c>
      <x:c r="H36" s="169" t="str">
        <x:f>'Phase 2'!H16</x:f>
        <x:v>To Be Confirmed</x:v>
      </x:c>
      <x:c r="I36" s="169" t="str">
        <x:f>'Phase 2'!I16</x:f>
        <x:v>Phase 2 — Flight Research, Quotes, Payment, and Booking</x:v>
      </x:c>
      <x:c r="J36" s="147" t="str">
        <x:f>'Phase 2'!J16</x:f>
        <x:v>Requires the client, traveller, ownership, and permission foundation from Phase 1.</x:v>
      </x:c>
      <x:c r="K36" s="169" t="str">
        <x:f>'Phase 2'!K16</x:f>
        <x:v>Keep as proposed</x:v>
      </x:c>
      <x:c r="L36" s="170" t="str">
        <x:f>'Phase 2'!L16</x:f>
        <x:v>Pending project review</x:v>
      </x:c>
      <x:c r="M36" s="169" t="str">
        <x:f>IF('Phase 2'!M16="","",'Phase 2'!M16)</x:f>
      </x:c>
    </x:row>
    <x:row r="37" ht="56" customHeight="1">
      <x:c r="A37" s="168" t="str">
        <x:f>'Phase 2'!A17</x:f>
        <x:v>P2-11</x:v>
      </x:c>
      <x:c r="B37" s="168" t="str">
        <x:f>'Phase 2'!B17</x:f>
        <x:v>Phase 2</x:v>
      </x:c>
      <x:c r="C37" s="168" t="str">
        <x:f>'Phase 2'!C17</x:f>
        <x:v>Flight Research, Quotes, Payment, and Booking</x:v>
      </x:c>
      <x:c r="D37" s="147" t="str">
        <x:f>'Phase 2'!D17</x:f>
        <x:v>Receive reminders before a held reservation expires.</x:v>
      </x:c>
      <x:c r="E37" s="147" t="str">
        <x:f>'Phase 2'!E17</x:f>
        <x:v>A complete, traceable workflow from travel request through quotation, client decision, payment confirmation, and handoff to ticketing.</x:v>
      </x:c>
      <x:c r="F37" s="147" t="str">
        <x:f>'Phase 2'!F17</x:f>
        <x:v>Travel Agent</x:v>
      </x:c>
      <x:c r="G37" s="147" t="str">
        <x:f>'Phase 2'!G17</x:f>
        <x:v>Must Have</x:v>
      </x:c>
      <x:c r="H37" s="169" t="str">
        <x:f>'Phase 2'!H17</x:f>
        <x:v>To Be Confirmed</x:v>
      </x:c>
      <x:c r="I37" s="169" t="str">
        <x:f>'Phase 2'!I17</x:f>
        <x:v>Phase 2 — Flight Research, Quotes, Payment, and Booking</x:v>
      </x:c>
      <x:c r="J37" s="147" t="str">
        <x:f>'Phase 2'!J17</x:f>
        <x:v>Requires the client, traveller, ownership, and permission foundation from Phase 1.</x:v>
      </x:c>
      <x:c r="K37" s="169" t="str">
        <x:f>'Phase 2'!K17</x:f>
        <x:v>Keep as proposed</x:v>
      </x:c>
      <x:c r="L37" s="170" t="str">
        <x:f>'Phase 2'!L17</x:f>
        <x:v>Pending project review</x:v>
      </x:c>
      <x:c r="M37" s="169" t="str">
        <x:f>IF('Phase 2'!M17="","",'Phase 2'!M17)</x:f>
      </x:c>
    </x:row>
    <x:row r="38" ht="56" customHeight="1">
      <x:c r="A38" s="168" t="str">
        <x:f>'Phase 2'!A18</x:f>
        <x:v>P2-12</x:v>
      </x:c>
      <x:c r="B38" s="168" t="str">
        <x:f>'Phase 2'!B18</x:f>
        <x:v>Phase 2</x:v>
      </x:c>
      <x:c r="C38" s="168" t="str">
        <x:f>'Phase 2'!C18</x:f>
        <x:v>Flight Research, Quotes, Payment, and Booking</x:v>
      </x:c>
      <x:c r="D38" s="147" t="str">
        <x:f>'Phase 2'!D18</x:f>
        <x:v>Prepare a clear flight proposal with itinerary, total price, booking fee, restrictions, and expiration time.</x:v>
      </x:c>
      <x:c r="E38" s="147" t="str">
        <x:f>'Phase 2'!E18</x:f>
        <x:v>A complete, traceable workflow from travel request through quotation, client decision, payment confirmation, and handoff to ticketing.</x:v>
      </x:c>
      <x:c r="F38" s="147" t="str">
        <x:f>'Phase 2'!F18</x:f>
        <x:v>Travel Agent</x:v>
      </x:c>
      <x:c r="G38" s="147" t="str">
        <x:f>'Phase 2'!G18</x:f>
        <x:v>Must Have</x:v>
      </x:c>
      <x:c r="H38" s="169" t="str">
        <x:f>'Phase 2'!H18</x:f>
        <x:v>To Be Confirmed</x:v>
      </x:c>
      <x:c r="I38" s="169" t="str">
        <x:f>'Phase 2'!I18</x:f>
        <x:v>Phase 2 — Flight Research, Quotes, Payment, and Booking</x:v>
      </x:c>
      <x:c r="J38" s="147" t="str">
        <x:f>'Phase 2'!J18</x:f>
        <x:v>Requires the client, traveller, ownership, and permission foundation from Phase 1.</x:v>
      </x:c>
      <x:c r="K38" s="169" t="str">
        <x:f>'Phase 2'!K18</x:f>
        <x:v>Keep as proposed</x:v>
      </x:c>
      <x:c r="L38" s="170" t="str">
        <x:f>'Phase 2'!L18</x:f>
        <x:v>Pending project review</x:v>
      </x:c>
      <x:c r="M38" s="169" t="str">
        <x:f>IF('Phase 2'!M18="","",'Phase 2'!M18)</x:f>
      </x:c>
    </x:row>
    <x:row r="39" ht="56" customHeight="1">
      <x:c r="A39" s="168" t="str">
        <x:f>'Phase 2'!A19</x:f>
        <x:v>P2-13</x:v>
      </x:c>
      <x:c r="B39" s="168" t="str">
        <x:f>'Phase 2'!B19</x:f>
        <x:v>Phase 2</x:v>
      </x:c>
      <x:c r="C39" s="168" t="str">
        <x:f>'Phase 2'!C19</x:f>
        <x:v>Flight Research, Quotes, Payment, and Booking</x:v>
      </x:c>
      <x:c r="D39" s="147" t="str">
        <x:f>'Phase 2'!D19</x:f>
        <x:v>Create the client-ready proposal directly in the new system and record when it was sent.</x:v>
      </x:c>
      <x:c r="E39" s="147" t="str">
        <x:f>'Phase 2'!E19</x:f>
        <x:v>A complete, traceable workflow from travel request through quotation, client decision, payment confirmation, and handoff to ticketing.</x:v>
      </x:c>
      <x:c r="F39" s="147" t="str">
        <x:f>'Phase 2'!F19</x:f>
        <x:v>Travel Agent</x:v>
      </x:c>
      <x:c r="G39" s="147" t="str">
        <x:f>'Phase 2'!G19</x:f>
        <x:v>Must Have</x:v>
      </x:c>
      <x:c r="H39" s="169" t="str">
        <x:f>'Phase 2'!H19</x:f>
        <x:v>To Be Confirmed</x:v>
      </x:c>
      <x:c r="I39" s="169" t="str">
        <x:f>'Phase 2'!I19</x:f>
        <x:v>Phase 2 — Flight Research, Quotes, Payment, and Booking</x:v>
      </x:c>
      <x:c r="J39" s="147" t="str">
        <x:f>'Phase 2'!J19</x:f>
        <x:v>Requires the client, traveller, ownership, and permission foundation from Phase 1.</x:v>
      </x:c>
      <x:c r="K39" s="169" t="str">
        <x:f>'Phase 2'!K19</x:f>
        <x:v>Keep as proposed</x:v>
      </x:c>
      <x:c r="L39" s="170" t="str">
        <x:f>'Phase 2'!L19</x:f>
        <x:v>Pending project review</x:v>
      </x:c>
      <x:c r="M39" s="169" t="str">
        <x:f>IF('Phase 2'!M19="","",'Phase 2'!M19)</x:f>
      </x:c>
    </x:row>
    <x:row r="40" ht="56" customHeight="1">
      <x:c r="A40" s="168" t="str">
        <x:f>'Phase 2'!A20</x:f>
        <x:v>P2-14</x:v>
      </x:c>
      <x:c r="B40" s="168" t="str">
        <x:f>'Phase 2'!B20</x:f>
        <x:v>Phase 2</x:v>
      </x:c>
      <x:c r="C40" s="168" t="str">
        <x:f>'Phase 2'!C20</x:f>
        <x:v>Flight Research, Quotes, Payment, and Booking</x:v>
      </x:c>
      <x:c r="D40" s="147" t="str">
        <x:f>'Phase 2'!D20</x:f>
        <x:v>Record whether the client accepted, declined, asked for changes, or did not respond.</x:v>
      </x:c>
      <x:c r="E40" s="147" t="str">
        <x:f>'Phase 2'!E20</x:f>
        <x:v>A complete, traceable workflow from travel request through quotation, client decision, payment confirmation, and handoff to ticketing.</x:v>
      </x:c>
      <x:c r="F40" s="147" t="str">
        <x:f>'Phase 2'!F20</x:f>
        <x:v>Travel Agent</x:v>
      </x:c>
      <x:c r="G40" s="147" t="str">
        <x:f>'Phase 2'!G20</x:f>
        <x:v>Must Have</x:v>
      </x:c>
      <x:c r="H40" s="169" t="str">
        <x:f>'Phase 2'!H20</x:f>
        <x:v>To Be Confirmed</x:v>
      </x:c>
      <x:c r="I40" s="169" t="str">
        <x:f>'Phase 2'!I20</x:f>
        <x:v>Phase 2 — Flight Research, Quotes, Payment, and Booking</x:v>
      </x:c>
      <x:c r="J40" s="147" t="str">
        <x:f>'Phase 2'!J20</x:f>
        <x:v>Requires the client, traveller, ownership, and permission foundation from Phase 1.</x:v>
      </x:c>
      <x:c r="K40" s="169" t="str">
        <x:f>'Phase 2'!K20</x:f>
        <x:v>Keep as proposed</x:v>
      </x:c>
      <x:c r="L40" s="170" t="str">
        <x:f>'Phase 2'!L20</x:f>
        <x:v>Pending project review</x:v>
      </x:c>
      <x:c r="M40" s="169" t="str">
        <x:f>IF('Phase 2'!M20="","",'Phase 2'!M20)</x:f>
      </x:c>
    </x:row>
    <x:row r="41" ht="56" customHeight="1">
      <x:c r="A41" s="168" t="str">
        <x:f>'Phase 2'!A21</x:f>
        <x:v>P2-15</x:v>
      </x:c>
      <x:c r="B41" s="168" t="str">
        <x:f>'Phase 2'!B21</x:f>
        <x:v>Phase 2</x:v>
      </x:c>
      <x:c r="C41" s="168" t="str">
        <x:f>'Phase 2'!C21</x:f>
        <x:v>Flight Research, Quotes, Payment, and Booking</x:v>
      </x:c>
      <x:c r="D41" s="147" t="str">
        <x:f>'Phase 2'!D21</x:f>
        <x:v>Receive a follow-up reminder when a held booking has not received a response.</x:v>
      </x:c>
      <x:c r="E41" s="147" t="str">
        <x:f>'Phase 2'!E21</x:f>
        <x:v>A complete, traceable workflow from travel request through quotation, client decision, payment confirmation, and handoff to ticketing.</x:v>
      </x:c>
      <x:c r="F41" s="147" t="str">
        <x:f>'Phase 2'!F21</x:f>
        <x:v>Travel Agent</x:v>
      </x:c>
      <x:c r="G41" s="147" t="str">
        <x:f>'Phase 2'!G21</x:f>
        <x:v>Must Have</x:v>
      </x:c>
      <x:c r="H41" s="169" t="str">
        <x:f>'Phase 2'!H21</x:f>
        <x:v>To Be Confirmed</x:v>
      </x:c>
      <x:c r="I41" s="169" t="str">
        <x:f>'Phase 2'!I21</x:f>
        <x:v>Phase 2 — Flight Research, Quotes, Payment, and Booking</x:v>
      </x:c>
      <x:c r="J41" s="147" t="str">
        <x:f>'Phase 2'!J21</x:f>
        <x:v>Requires the client, traveller, ownership, and permission foundation from Phase 1.</x:v>
      </x:c>
      <x:c r="K41" s="169" t="str">
        <x:f>'Phase 2'!K21</x:f>
        <x:v>Keep as proposed</x:v>
      </x:c>
      <x:c r="L41" s="170" t="str">
        <x:f>'Phase 2'!L21</x:f>
        <x:v>Pending project review</x:v>
      </x:c>
      <x:c r="M41" s="169" t="str">
        <x:f>IF('Phase 2'!M21="","",'Phase 2'!M21)</x:f>
      </x:c>
    </x:row>
    <x:row r="42" ht="56" customHeight="1">
      <x:c r="A42" s="168" t="str">
        <x:f>'Phase 2'!A22</x:f>
        <x:v>P2-16</x:v>
      </x:c>
      <x:c r="B42" s="168" t="str">
        <x:f>'Phase 2'!B22</x:f>
        <x:v>Phase 2</x:v>
      </x:c>
      <x:c r="C42" s="168" t="str">
        <x:f>'Phase 2'!C22</x:f>
        <x:v>Flight Research, Quotes, Payment, and Booking</x:v>
      </x:c>
      <x:c r="D42" s="147" t="str">
        <x:f>'Phase 2'!D22</x:f>
        <x:v>Mark the booking as ready for invoicing after the client decides to proceed.</x:v>
      </x:c>
      <x:c r="E42" s="147" t="str">
        <x:f>'Phase 2'!E22</x:f>
        <x:v>A complete, traceable workflow from travel request through quotation, client decision, payment confirmation, and handoff to ticketing.</x:v>
      </x:c>
      <x:c r="F42" s="147" t="str">
        <x:f>'Phase 2'!F22</x:f>
        <x:v>Travel Agent; Finance User</x:v>
      </x:c>
      <x:c r="G42" s="147" t="str">
        <x:f>'Phase 2'!G22</x:f>
        <x:v>Must Have</x:v>
      </x:c>
      <x:c r="H42" s="169" t="str">
        <x:f>'Phase 2'!H22</x:f>
        <x:v>To Be Confirmed</x:v>
      </x:c>
      <x:c r="I42" s="169" t="str">
        <x:f>'Phase 2'!I22</x:f>
        <x:v>Phase 2 — Flight Research, Quotes, Payment, and Booking</x:v>
      </x:c>
      <x:c r="J42" s="147" t="str">
        <x:f>'Phase 2'!J22</x:f>
        <x:v>Requires the client, traveller, ownership, and permission foundation from Phase 1.</x:v>
      </x:c>
      <x:c r="K42" s="169" t="str">
        <x:f>'Phase 2'!K22</x:f>
        <x:v>Keep as proposed</x:v>
      </x:c>
      <x:c r="L42" s="170" t="str">
        <x:f>'Phase 2'!L22</x:f>
        <x:v>Pending project review</x:v>
      </x:c>
      <x:c r="M42" s="169" t="str">
        <x:f>IF('Phase 2'!M22="","",'Phase 2'!M22)</x:f>
      </x:c>
    </x:row>
    <x:row r="43" ht="56" customHeight="1">
      <x:c r="A43" s="168" t="str">
        <x:f>'Phase 2'!A23</x:f>
        <x:v>P2-17</x:v>
      </x:c>
      <x:c r="B43" s="168" t="str">
        <x:f>'Phase 2'!B23</x:f>
        <x:v>Phase 2</x:v>
      </x:c>
      <x:c r="C43" s="168" t="str">
        <x:f>'Phase 2'!C23</x:f>
        <x:v>Flight Research, Quotes, Payment, and Booking</x:v>
      </x:c>
      <x:c r="D43" s="147" t="str">
        <x:f>'Phase 2'!D23</x:f>
        <x:v>Record payment confirmation and the payment reference number.</x:v>
      </x:c>
      <x:c r="E43" s="147" t="str">
        <x:f>'Phase 2'!E23</x:f>
        <x:v>A complete, traceable workflow from travel request through quotation, client decision, payment confirmation, and handoff to ticketing.</x:v>
      </x:c>
      <x:c r="F43" s="147" t="str">
        <x:f>'Phase 2'!F23</x:f>
        <x:v>Travel Agent; Finance User</x:v>
      </x:c>
      <x:c r="G43" s="147" t="str">
        <x:f>'Phase 2'!G23</x:f>
        <x:v>Must Have</x:v>
      </x:c>
      <x:c r="H43" s="169" t="str">
        <x:f>'Phase 2'!H23</x:f>
        <x:v>To Be Confirmed</x:v>
      </x:c>
      <x:c r="I43" s="169" t="str">
        <x:f>'Phase 2'!I23</x:f>
        <x:v>Phase 2 — Flight Research, Quotes, Payment, and Booking</x:v>
      </x:c>
      <x:c r="J43" s="147" t="str">
        <x:f>'Phase 2'!J23</x:f>
        <x:v>Requires the client, traveller, ownership, and permission foundation from Phase 1.</x:v>
      </x:c>
      <x:c r="K43" s="169" t="str">
        <x:f>'Phase 2'!K23</x:f>
        <x:v>Keep as proposed</x:v>
      </x:c>
      <x:c r="L43" s="170" t="str">
        <x:f>'Phase 2'!L23</x:f>
        <x:v>Pending project review</x:v>
      </x:c>
      <x:c r="M43" s="169" t="str">
        <x:f>IF('Phase 2'!M23="","",'Phase 2'!M23)</x:f>
      </x:c>
    </x:row>
    <x:row r="44" ht="56" customHeight="1">
      <x:c r="A44" s="168" t="str">
        <x:f>'Phase 2'!A24</x:f>
        <x:v>P2-18</x:v>
      </x:c>
      <x:c r="B44" s="168" t="str">
        <x:f>'Phase 2'!B24</x:f>
        <x:v>Phase 2</x:v>
      </x:c>
      <x:c r="C44" s="168" t="str">
        <x:f>'Phase 2'!C24</x:f>
        <x:v>Flight Research, Quotes, Payment, and Booking</x:v>
      </x:c>
      <x:c r="D44" s="147" t="str">
        <x:f>'Phase 2'!D24</x:f>
        <x:v>Prevent a booking from being sent for ticket issuance unless payment, approved payment authorization, or an approved credit arrangement is confirmed.</x:v>
      </x:c>
      <x:c r="E44" s="147" t="str">
        <x:f>'Phase 2'!E24</x:f>
        <x:v>A complete, traceable workflow from travel request through quotation, client decision, payment confirmation, and handoff to ticketing.</x:v>
      </x:c>
      <x:c r="F44" s="147" t="str">
        <x:f>'Phase 2'!F24</x:f>
        <x:v>Travel Agent; Finance User</x:v>
      </x:c>
      <x:c r="G44" s="147" t="str">
        <x:f>'Phase 2'!G24</x:f>
        <x:v>Must Have</x:v>
      </x:c>
      <x:c r="H44" s="169" t="str">
        <x:f>'Phase 2'!H24</x:f>
        <x:v>To Be Confirmed</x:v>
      </x:c>
      <x:c r="I44" s="169" t="str">
        <x:f>'Phase 2'!I24</x:f>
        <x:v>Phase 2 — Flight Research, Quotes, Payment, and Booking</x:v>
      </x:c>
      <x:c r="J44" s="147" t="str">
        <x:f>'Phase 2'!J24</x:f>
        <x:v>Requires the client, traveller, ownership, and permission foundation from Phase 1.</x:v>
      </x:c>
      <x:c r="K44" s="169" t="str">
        <x:f>'Phase 2'!K24</x:f>
        <x:v>Keep as proposed</x:v>
      </x:c>
      <x:c r="L44" s="170" t="str">
        <x:f>'Phase 2'!L24</x:f>
        <x:v>Pending project review</x:v>
      </x:c>
      <x:c r="M44" s="169" t="str">
        <x:f>IF('Phase 2'!M24="","",'Phase 2'!M24)</x:f>
      </x:c>
    </x:row>
    <x:row r="45" ht="56" customHeight="1">
      <x:c r="A45" s="168" t="str">
        <x:f>'Phase 2'!A25</x:f>
        <x:v>P2-19</x:v>
      </x:c>
      <x:c r="B45" s="168" t="str">
        <x:f>'Phase 2'!B25</x:f>
        <x:v>Phase 2</x:v>
      </x:c>
      <x:c r="C45" s="168" t="str">
        <x:f>'Phase 2'!C25</x:f>
        <x:v>Flight Research, Quotes, Payment, and Booking</x:v>
      </x:c>
      <x:c r="D45" s="147" t="str">
        <x:f>'Phase 2'!D25</x:f>
        <x:v>Track the booking through clear stages: accepted, payment pending, paid, ready to issue, sent to ticketing, ticket issued, and confirmation sent.</x:v>
      </x:c>
      <x:c r="E45" s="147" t="str">
        <x:f>'Phase 2'!E25</x:f>
        <x:v>A complete, traceable workflow from travel request through quotation, client decision, payment confirmation, and handoff to ticketing.</x:v>
      </x:c>
      <x:c r="F45" s="147" t="str">
        <x:f>'Phase 2'!F25</x:f>
        <x:v>Travel Agent; Finance User</x:v>
      </x:c>
      <x:c r="G45" s="147" t="str">
        <x:f>'Phase 2'!G25</x:f>
        <x:v>Must Have</x:v>
      </x:c>
      <x:c r="H45" s="169" t="str">
        <x:f>'Phase 2'!H25</x:f>
        <x:v>To Be Confirmed</x:v>
      </x:c>
      <x:c r="I45" s="169" t="str">
        <x:f>'Phase 2'!I25</x:f>
        <x:v>Phase 2 — Flight Research, Quotes, Payment, and Booking</x:v>
      </x:c>
      <x:c r="J45" s="147" t="str">
        <x:f>'Phase 2'!J25</x:f>
        <x:v>Requires the client, traveller, ownership, and permission foundation from Phase 1.</x:v>
      </x:c>
      <x:c r="K45" s="169" t="str">
        <x:f>'Phase 2'!K25</x:f>
        <x:v>Keep as proposed</x:v>
      </x:c>
      <x:c r="L45" s="170" t="str">
        <x:f>'Phase 2'!L25</x:f>
        <x:v>Pending project review</x:v>
      </x:c>
      <x:c r="M45" s="169" t="str">
        <x:f>IF('Phase 2'!M25="","",'Phase 2'!M25)</x:f>
      </x:c>
    </x:row>
    <x:row r="46" ht="56" customHeight="1">
      <x:c r="A46" s="168" t="str">
        <x:f>'Phase 2'!A26</x:f>
        <x:v>P2-20</x:v>
      </x:c>
      <x:c r="B46" s="168" t="str">
        <x:f>'Phase 2'!B26</x:f>
        <x:v>Phase 2</x:v>
      </x:c>
      <x:c r="C46" s="168" t="str">
        <x:f>'Phase 2'!C26</x:f>
        <x:v>Flight Research, Quotes, Payment, and Booking</x:v>
      </x:c>
      <x:c r="D46" s="147" t="str">
        <x:f>'Phase 2'!D26</x:f>
        <x:v>Send a copy-ready ticket confirmation through WhatsApp after issuance is complete.</x:v>
      </x:c>
      <x:c r="E46" s="147" t="str">
        <x:f>'Phase 2'!E26</x:f>
        <x:v>A complete, traceable workflow from travel request through quotation, client decision, payment confirmation, and handoff to ticketing.</x:v>
      </x:c>
      <x:c r="F46" s="147" t="str">
        <x:f>'Phase 2'!F26</x:f>
        <x:v>Travel Agent</x:v>
      </x:c>
      <x:c r="G46" s="147" t="str">
        <x:f>'Phase 2'!G26</x:f>
        <x:v>Must Have</x:v>
      </x:c>
      <x:c r="H46" s="169" t="str">
        <x:f>'Phase 2'!H26</x:f>
        <x:v>To Be Confirmed</x:v>
      </x:c>
      <x:c r="I46" s="169" t="str">
        <x:f>'Phase 2'!I26</x:f>
        <x:v>Phase 2 — Flight Research, Quotes, Payment, and Booking</x:v>
      </x:c>
      <x:c r="J46" s="147" t="str">
        <x:f>'Phase 2'!J26</x:f>
        <x:v>Requires the client, traveller, ownership, and permission foundation from Phase 1.</x:v>
      </x:c>
      <x:c r="K46" s="169" t="str">
        <x:f>'Phase 2'!K26</x:f>
        <x:v>Keep as proposed</x:v>
      </x:c>
      <x:c r="L46" s="170" t="str">
        <x:f>'Phase 2'!L26</x:f>
        <x:v>Pending project review</x:v>
      </x:c>
      <x:c r="M46" s="169" t="str">
        <x:f>IF('Phase 2'!M26="","",'Phase 2'!M26)</x:f>
      </x:c>
    </x:row>
    <x:row r="47" ht="56" customHeight="1">
      <x:c r="A47" s="168" t="str">
        <x:f>'Phase 3'!A7</x:f>
        <x:v>P3-01</x:v>
      </x:c>
      <x:c r="B47" s="168" t="str">
        <x:f>'Phase 3'!B7</x:f>
        <x:v>Phase 3</x:v>
      </x:c>
      <x:c r="C47" s="168" t="str">
        <x:f>'Phase 3'!C7</x:f>
        <x:v>Sabre Connection and Ticketing</x:v>
      </x:c>
      <x:c r="D47" s="147" t="str">
        <x:f>'Phase 3'!D7</x:f>
        <x:v>Search live flight availability from the new system through approved Sabre connections.</x:v>
      </x:c>
      <x:c r="E47" s="147" t="str">
        <x:f>'Phase 3'!E7</x:f>
        <x:v>Authorized staff can search live availability, compare suitable options, manage PNRs, and complete controlled ticketing work from the system.</x:v>
      </x:c>
      <x:c r="F47" s="147" t="str">
        <x:f>'Phase 3'!F7</x:f>
        <x:v>Travel Agent; System Administrator</x:v>
      </x:c>
      <x:c r="G47" s="147" t="str">
        <x:f>'Phase 3'!G7</x:f>
        <x:v>High</x:v>
      </x:c>
      <x:c r="H47" s="169" t="str">
        <x:f>'Phase 3'!H7</x:f>
        <x:v>To Be Confirmed</x:v>
      </x:c>
      <x:c r="I47" s="169" t="str">
        <x:f>'Phase 3'!I7</x:f>
        <x:v>Phase 3 — Sabre Connection and Ticketing</x:v>
      </x:c>
      <x:c r="J47" s="147" t="str">
        <x:f>'Phase 3'!J7</x:f>
        <x:v>Requires a stable Phase 2 booking workflow plus approved Sabre API products, credentials, permissions, and test access.</x:v>
      </x:c>
      <x:c r="K47" s="169" t="str">
        <x:f>'Phase 3'!K7</x:f>
        <x:v>Keep as proposed</x:v>
      </x:c>
      <x:c r="L47" s="170" t="str">
        <x:f>'Phase 3'!L7</x:f>
        <x:v>Pending project review</x:v>
      </x:c>
      <x:c r="M47" s="169" t="str">
        <x:f>IF('Phase 3'!M7="","",'Phase 3'!M7)</x:f>
      </x:c>
    </x:row>
    <x:row r="48" ht="56" customHeight="1">
      <x:c r="A48" s="168" t="str">
        <x:f>'Phase 3'!A8</x:f>
        <x:v>P3-02</x:v>
      </x:c>
      <x:c r="B48" s="168" t="str">
        <x:f>'Phase 3'!B8</x:f>
        <x:v>Phase 3</x:v>
      </x:c>
      <x:c r="C48" s="168" t="str">
        <x:f>'Phase 3'!C8</x:f>
        <x:v>Sabre Connection and Ticketing</x:v>
      </x:c>
      <x:c r="D48" s="147" t="str">
        <x:f>'Phase 3'!D8</x:f>
        <x:v>Retrieve comparable flight options with one action instead of repeating the same search manually.</x:v>
      </x:c>
      <x:c r="E48" s="147" t="str">
        <x:f>'Phase 3'!E8</x:f>
        <x:v>Authorized staff can search live availability, compare suitable options, manage PNRs, and complete controlled ticketing work from the system.</x:v>
      </x:c>
      <x:c r="F48" s="147" t="str">
        <x:f>'Phase 3'!F8</x:f>
        <x:v>Travel Agent; Ticketing Agent</x:v>
      </x:c>
      <x:c r="G48" s="147" t="str">
        <x:f>'Phase 3'!G8</x:f>
        <x:v>High</x:v>
      </x:c>
      <x:c r="H48" s="169" t="str">
        <x:f>'Phase 3'!H8</x:f>
        <x:v>To Be Confirmed</x:v>
      </x:c>
      <x:c r="I48" s="169" t="str">
        <x:f>'Phase 3'!I8</x:f>
        <x:v>Phase 3 — Sabre Connection and Ticketing</x:v>
      </x:c>
      <x:c r="J48" s="147" t="str">
        <x:f>'Phase 3'!J8</x:f>
        <x:v>Requires a stable Phase 2 booking workflow plus approved Sabre API products, credentials, permissions, and test access.</x:v>
      </x:c>
      <x:c r="K48" s="169" t="str">
        <x:f>'Phase 3'!K8</x:f>
        <x:v>Keep as proposed</x:v>
      </x:c>
      <x:c r="L48" s="170" t="str">
        <x:f>'Phase 3'!L8</x:f>
        <x:v>Pending project review</x:v>
      </x:c>
      <x:c r="M48" s="169" t="str">
        <x:f>IF('Phase 3'!M8="","",'Phase 3'!M8)</x:f>
      </x:c>
    </x:row>
    <x:row r="49" ht="56" customHeight="1">
      <x:c r="A49" s="168" t="str">
        <x:f>'Phase 3'!A9</x:f>
        <x:v>P3-03</x:v>
      </x:c>
      <x:c r="B49" s="168" t="str">
        <x:f>'Phase 3'!B9</x:f>
        <x:v>Phase 3</x:v>
      </x:c>
      <x:c r="C49" s="168" t="str">
        <x:f>'Phase 3'!C9</x:f>
        <x:v>Sabre Connection and Ticketing</x:v>
      </x:c>
      <x:c r="D49" s="147" t="str">
        <x:f>'Phase 3'!D9</x:f>
        <x:v>Compare options from the relevant Sabre accounts or PCCs when more than one account may be suitable.</x:v>
      </x:c>
      <x:c r="E49" s="147" t="str">
        <x:f>'Phase 3'!E9</x:f>
        <x:v>Authorized staff can search live availability, compare suitable options, manage PNRs, and complete controlled ticketing work from the system.</x:v>
      </x:c>
      <x:c r="F49" s="147" t="str">
        <x:f>'Phase 3'!F9</x:f>
        <x:v>Travel Agent; Ticketing Agent</x:v>
      </x:c>
      <x:c r="G49" s="147" t="str">
        <x:f>'Phase 3'!G9</x:f>
        <x:v>High</x:v>
      </x:c>
      <x:c r="H49" s="169" t="str">
        <x:f>'Phase 3'!H9</x:f>
        <x:v>To Be Confirmed</x:v>
      </x:c>
      <x:c r="I49" s="169" t="str">
        <x:f>'Phase 3'!I9</x:f>
        <x:v>Phase 3 — Sabre Connection and Ticketing</x:v>
      </x:c>
      <x:c r="J49" s="147" t="str">
        <x:f>'Phase 3'!J9</x:f>
        <x:v>Requires a stable Phase 2 booking workflow plus approved Sabre API products, credentials, permissions, and test access.</x:v>
      </x:c>
      <x:c r="K49" s="169" t="str">
        <x:f>'Phase 3'!K9</x:f>
        <x:v>Keep as proposed</x:v>
      </x:c>
      <x:c r="L49" s="170" t="str">
        <x:f>'Phase 3'!L9</x:f>
        <x:v>Pending project review</x:v>
      </x:c>
      <x:c r="M49" s="169" t="str">
        <x:f>IF('Phase 3'!M9="","",'Phase 3'!M9)</x:f>
      </x:c>
    </x:row>
    <x:row r="50" ht="56" customHeight="1">
      <x:c r="A50" s="168" t="str">
        <x:f>'Phase 3'!A10</x:f>
        <x:v>P3-04</x:v>
      </x:c>
      <x:c r="B50" s="168" t="str">
        <x:f>'Phase 3'!B10</x:f>
        <x:v>Phase 3</x:v>
      </x:c>
      <x:c r="C50" s="168" t="str">
        <x:f>'Phase 3'!C10</x:f>
        <x:v>Sabre Connection and Ticketing</x:v>
      </x:c>
      <x:c r="D50" s="147" t="str">
        <x:f>'Phase 3'!D10</x:f>
        <x:v>See the client price, fare conditions, available commission, and important restrictions before choosing an option.</x:v>
      </x:c>
      <x:c r="E50" s="147" t="str">
        <x:f>'Phase 3'!E10</x:f>
        <x:v>Authorized staff can search live availability, compare suitable options, manage PNRs, and complete controlled ticketing work from the system.</x:v>
      </x:c>
      <x:c r="F50" s="147" t="str">
        <x:f>'Phase 3'!F10</x:f>
        <x:v>Travel Agent; Ticketing Agent</x:v>
      </x:c>
      <x:c r="G50" s="147" t="str">
        <x:f>'Phase 3'!G10</x:f>
        <x:v>High</x:v>
      </x:c>
      <x:c r="H50" s="169" t="str">
        <x:f>'Phase 3'!H10</x:f>
        <x:v>To Be Confirmed</x:v>
      </x:c>
      <x:c r="I50" s="169" t="str">
        <x:f>'Phase 3'!I10</x:f>
        <x:v>Phase 3 — Sabre Connection and Ticketing</x:v>
      </x:c>
      <x:c r="J50" s="147" t="str">
        <x:f>'Phase 3'!J10</x:f>
        <x:v>Requires a stable Phase 2 booking workflow plus approved Sabre API products, credentials, permissions, and test access.</x:v>
      </x:c>
      <x:c r="K50" s="169" t="str">
        <x:f>'Phase 3'!K10</x:f>
        <x:v>Keep as proposed</x:v>
      </x:c>
      <x:c r="L50" s="170" t="str">
        <x:f>'Phase 3'!L10</x:f>
        <x:v>Pending project review</x:v>
      </x:c>
      <x:c r="M50" s="169" t="str">
        <x:f>IF('Phase 3'!M10="","",'Phase 3'!M10)</x:f>
      </x:c>
    </x:row>
    <x:row r="51" ht="56" customHeight="1">
      <x:c r="A51" s="168" t="str">
        <x:f>'Phase 3'!A11</x:f>
        <x:v>P3-05</x:v>
      </x:c>
      <x:c r="B51" s="168" t="str">
        <x:f>'Phase 3'!B11</x:f>
        <x:v>Phase 3</x:v>
      </x:c>
      <x:c r="C51" s="168" t="str">
        <x:f>'Phase 3'!C11</x:f>
        <x:v>Sabre Connection and Ticketing</x:v>
      </x:c>
      <x:c r="D51" s="147" t="str">
        <x:f>'Phase 3'!D11</x:f>
        <x:v>Create a new PNR or retrieve an existing PNR from the system.</x:v>
      </x:c>
      <x:c r="E51" s="147" t="str">
        <x:f>'Phase 3'!E11</x:f>
        <x:v>Authorized staff can search live availability, compare suitable options, manage PNRs, and complete controlled ticketing work from the system.</x:v>
      </x:c>
      <x:c r="F51" s="147" t="str">
        <x:f>'Phase 3'!F11</x:f>
        <x:v>Travel Agent; Ticketing Agent</x:v>
      </x:c>
      <x:c r="G51" s="147" t="str">
        <x:f>'Phase 3'!G11</x:f>
        <x:v>High</x:v>
      </x:c>
      <x:c r="H51" s="169" t="str">
        <x:f>'Phase 3'!H11</x:f>
        <x:v>To Be Confirmed</x:v>
      </x:c>
      <x:c r="I51" s="169" t="str">
        <x:f>'Phase 3'!I11</x:f>
        <x:v>Phase 3 — Sabre Connection and Ticketing</x:v>
      </x:c>
      <x:c r="J51" s="147" t="str">
        <x:f>'Phase 3'!J11</x:f>
        <x:v>Requires a stable Phase 2 booking workflow plus approved Sabre API products, credentials, permissions, and test access.</x:v>
      </x:c>
      <x:c r="K51" s="169" t="str">
        <x:f>'Phase 3'!K11</x:f>
        <x:v>Keep as proposed</x:v>
      </x:c>
      <x:c r="L51" s="170" t="str">
        <x:f>'Phase 3'!L11</x:f>
        <x:v>Pending project review</x:v>
      </x:c>
      <x:c r="M51" s="169" t="str">
        <x:f>IF('Phase 3'!M11="","",'Phase 3'!M11)</x:f>
      </x:c>
    </x:row>
    <x:row r="52" ht="56" customHeight="1">
      <x:c r="A52" s="168" t="str">
        <x:f>'Phase 3'!A12</x:f>
        <x:v>P3-06</x:v>
      </x:c>
      <x:c r="B52" s="168" t="str">
        <x:f>'Phase 3'!B12</x:f>
        <x:v>Phase 3</x:v>
      </x:c>
      <x:c r="C52" s="168" t="str">
        <x:f>'Phase 3'!C12</x:f>
        <x:v>Sabre Connection and Ticketing</x:v>
      </x:c>
      <x:c r="D52" s="147" t="str">
        <x:f>'Phase 3'!D12</x:f>
        <x:v>See reservation holds, ticketing deadlines, passenger details, and flight segments in one place.</x:v>
      </x:c>
      <x:c r="E52" s="147" t="str">
        <x:f>'Phase 3'!E12</x:f>
        <x:v>Authorized staff can search live availability, compare suitable options, manage PNRs, and complete controlled ticketing work from the system.</x:v>
      </x:c>
      <x:c r="F52" s="147" t="str">
        <x:f>'Phase 3'!F12</x:f>
        <x:v>Ticketing Agent; Supervisor / Manager</x:v>
      </x:c>
      <x:c r="G52" s="147" t="str">
        <x:f>'Phase 3'!G12</x:f>
        <x:v>High</x:v>
      </x:c>
      <x:c r="H52" s="169" t="str">
        <x:f>'Phase 3'!H12</x:f>
        <x:v>To Be Confirmed</x:v>
      </x:c>
      <x:c r="I52" s="169" t="str">
        <x:f>'Phase 3'!I12</x:f>
        <x:v>Phase 3 — Sabre Connection and Ticketing</x:v>
      </x:c>
      <x:c r="J52" s="147" t="str">
        <x:f>'Phase 3'!J12</x:f>
        <x:v>Requires a stable Phase 2 booking workflow plus approved Sabre API products, credentials, permissions, and test access.</x:v>
      </x:c>
      <x:c r="K52" s="169" t="str">
        <x:f>'Phase 3'!K12</x:f>
        <x:v>Keep as proposed</x:v>
      </x:c>
      <x:c r="L52" s="170" t="str">
        <x:f>'Phase 3'!L12</x:f>
        <x:v>Pending project review</x:v>
      </x:c>
      <x:c r="M52" s="169" t="str">
        <x:f>IF('Phase 3'!M12="","",'Phase 3'!M12)</x:f>
      </x:c>
    </x:row>
    <x:row r="53" ht="56" customHeight="1">
      <x:c r="A53" s="168" t="str">
        <x:f>'Phase 3'!A13</x:f>
        <x:v>P3-07</x:v>
      </x:c>
      <x:c r="B53" s="168" t="str">
        <x:f>'Phase 3'!B13</x:f>
        <x:v>Phase 3</x:v>
      </x:c>
      <x:c r="C53" s="168" t="str">
        <x:f>'Phase 3'!C13</x:f>
        <x:v>Sabre Connection and Ticketing</x:v>
      </x:c>
      <x:c r="D53" s="147" t="str">
        <x:f>'Phase 3'!D13</x:f>
        <x:v>Prepare a booking for ticket issuance using a guided checklist.</x:v>
      </x:c>
      <x:c r="E53" s="147" t="str">
        <x:f>'Phase 3'!E13</x:f>
        <x:v>Authorized staff can search live availability, compare suitable options, manage PNRs, and complete controlled ticketing work from the system.</x:v>
      </x:c>
      <x:c r="F53" s="147" t="str">
        <x:f>'Phase 3'!F13</x:f>
        <x:v>Ticketing Agent; Supervisor / Manager</x:v>
      </x:c>
      <x:c r="G53" s="147" t="str">
        <x:f>'Phase 3'!G13</x:f>
        <x:v>Must Have</x:v>
      </x:c>
      <x:c r="H53" s="169" t="str">
        <x:f>'Phase 3'!H13</x:f>
        <x:v>To Be Confirmed</x:v>
      </x:c>
      <x:c r="I53" s="169" t="str">
        <x:f>'Phase 3'!I13</x:f>
        <x:v>Phase 3 — Sabre Connection and Ticketing</x:v>
      </x:c>
      <x:c r="J53" s="147" t="str">
        <x:f>'Phase 3'!J13</x:f>
        <x:v>Requires a stable Phase 2 booking workflow plus approved Sabre API products, credentials, permissions, and test access.</x:v>
      </x:c>
      <x:c r="K53" s="169" t="str">
        <x:f>'Phase 3'!K13</x:f>
        <x:v>Keep as proposed</x:v>
      </x:c>
      <x:c r="L53" s="170" t="str">
        <x:f>'Phase 3'!L13</x:f>
        <x:v>Pending project review</x:v>
      </x:c>
      <x:c r="M53" s="169" t="str">
        <x:f>IF('Phase 3'!M13="","",'Phase 3'!M13)</x:f>
      </x:c>
    </x:row>
    <x:row r="54" ht="56" customHeight="1">
      <x:c r="A54" s="168" t="str">
        <x:f>'Phase 3'!A14</x:f>
        <x:v>P3-08</x:v>
      </x:c>
      <x:c r="B54" s="168" t="str">
        <x:f>'Phase 3'!B14</x:f>
        <x:v>Phase 3</x:v>
      </x:c>
      <x:c r="C54" s="168" t="str">
        <x:f>'Phase 3'!C14</x:f>
        <x:v>Sabre Connection and Ticketing</x:v>
      </x:c>
      <x:c r="D54" s="147" t="str">
        <x:f>'Phase 3'!D14</x:f>
        <x:v>Check whether separate domestic and international tickets may require conjunctive-ticket review and documentation.</x:v>
      </x:c>
      <x:c r="E54" s="147" t="str">
        <x:f>'Phase 3'!E14</x:f>
        <x:v>Authorized staff can search live availability, compare suitable options, manage PNRs, and complete controlled ticketing work from the system.</x:v>
      </x:c>
      <x:c r="F54" s="147" t="str">
        <x:f>'Phase 3'!F14</x:f>
        <x:v>Ticketing Agent; Supervisor / Manager</x:v>
      </x:c>
      <x:c r="G54" s="147" t="str">
        <x:f>'Phase 3'!G14</x:f>
        <x:v>High</x:v>
      </x:c>
      <x:c r="H54" s="169" t="str">
        <x:f>'Phase 3'!H14</x:f>
        <x:v>To Be Confirmed</x:v>
      </x:c>
      <x:c r="I54" s="169" t="str">
        <x:f>'Phase 3'!I14</x:f>
        <x:v>Phase 3 — Sabre Connection and Ticketing</x:v>
      </x:c>
      <x:c r="J54" s="147" t="str">
        <x:f>'Phase 3'!J14</x:f>
        <x:v>Requires a stable Phase 2 booking workflow plus approved Sabre API products, credentials, permissions, and test access.</x:v>
      </x:c>
      <x:c r="K54" s="169" t="str">
        <x:f>'Phase 3'!K14</x:f>
        <x:v>Keep as proposed</x:v>
      </x:c>
      <x:c r="L54" s="170" t="str">
        <x:f>'Phase 3'!L14</x:f>
        <x:v>Pending project review</x:v>
      </x:c>
      <x:c r="M54" s="169" t="str">
        <x:f>IF('Phase 3'!M14="","",'Phase 3'!M14)</x:f>
      </x:c>
    </x:row>
    <x:row r="55" ht="56" customHeight="1">
      <x:c r="A55" s="168" t="str">
        <x:f>'Phase 3'!A15</x:f>
        <x:v>P3-09</x:v>
      </x:c>
      <x:c r="B55" s="168" t="str">
        <x:f>'Phase 3'!B15</x:f>
        <x:v>Phase 3</x:v>
      </x:c>
      <x:c r="C55" s="168" t="str">
        <x:f>'Phase 3'!C15</x:f>
        <x:v>Sabre Connection and Ticketing</x:v>
      </x:c>
      <x:c r="D55" s="147" t="str">
        <x:f>'Phase 3'!D15</x:f>
        <x:v>Allow only authorized staff to approve and perform ticket issuance, voids, or other sensitive ticket actions.</x:v>
      </x:c>
      <x:c r="E55" s="147" t="str">
        <x:f>'Phase 3'!E15</x:f>
        <x:v>Authorized staff can search live availability, compare suitable options, manage PNRs, and complete controlled ticketing work from the system.</x:v>
      </x:c>
      <x:c r="F55" s="147" t="str">
        <x:f>'Phase 3'!F15</x:f>
        <x:v>Ticketing Agent; Supervisor / Manager</x:v>
      </x:c>
      <x:c r="G55" s="147" t="str">
        <x:f>'Phase 3'!G15</x:f>
        <x:v>Must Have</x:v>
      </x:c>
      <x:c r="H55" s="169" t="str">
        <x:f>'Phase 3'!H15</x:f>
        <x:v>To Be Confirmed</x:v>
      </x:c>
      <x:c r="I55" s="169" t="str">
        <x:f>'Phase 3'!I15</x:f>
        <x:v>Phase 3 — Sabre Connection and Ticketing</x:v>
      </x:c>
      <x:c r="J55" s="147" t="str">
        <x:f>'Phase 3'!J15</x:f>
        <x:v>Requires a stable Phase 2 booking workflow plus approved Sabre API products, credentials, permissions, and test access.</x:v>
      </x:c>
      <x:c r="K55" s="169" t="str">
        <x:f>'Phase 3'!K15</x:f>
        <x:v>Keep as proposed</x:v>
      </x:c>
      <x:c r="L55" s="170" t="str">
        <x:f>'Phase 3'!L15</x:f>
        <x:v>Pending project review</x:v>
      </x:c>
      <x:c r="M55" s="169" t="str">
        <x:f>IF('Phase 3'!M15="","",'Phase 3'!M15)</x:f>
      </x:c>
    </x:row>
    <x:row r="56" ht="56" customHeight="1">
      <x:c r="A56" s="168" t="str">
        <x:f>'Phase 3'!A16</x:f>
        <x:v>P3-10</x:v>
      </x:c>
      <x:c r="B56" s="168" t="str">
        <x:f>'Phase 3'!B16</x:f>
        <x:v>Phase 3</x:v>
      </x:c>
      <x:c r="C56" s="168" t="str">
        <x:f>'Phase 3'!C16</x:f>
        <x:v>Sabre Connection and Ticketing</x:v>
      </x:c>
      <x:c r="D56" s="147" t="str">
        <x:f>'Phase 3'!D16</x:f>
        <x:v>Store ticket numbers, issue details, traveller relationships, and ticket history automatically with the booking.</x:v>
      </x:c>
      <x:c r="E56" s="147" t="str">
        <x:f>'Phase 3'!E16</x:f>
        <x:v>Authorized staff can search live availability, compare suitable options, manage PNRs, and complete controlled ticketing work from the system.</x:v>
      </x:c>
      <x:c r="F56" s="147" t="str">
        <x:f>'Phase 3'!F16</x:f>
        <x:v>Ticketing Agent; Supervisor / Manager</x:v>
      </x:c>
      <x:c r="G56" s="147" t="str">
        <x:f>'Phase 3'!G16</x:f>
        <x:v>High</x:v>
      </x:c>
      <x:c r="H56" s="169" t="str">
        <x:f>'Phase 3'!H16</x:f>
        <x:v>To Be Confirmed</x:v>
      </x:c>
      <x:c r="I56" s="169" t="str">
        <x:f>'Phase 3'!I16</x:f>
        <x:v>Phase 3 — Sabre Connection and Ticketing</x:v>
      </x:c>
      <x:c r="J56" s="147" t="str">
        <x:f>'Phase 3'!J16</x:f>
        <x:v>Requires a stable Phase 2 booking workflow plus approved Sabre API products, credentials, permissions, and test access.</x:v>
      </x:c>
      <x:c r="K56" s="169" t="str">
        <x:f>'Phase 3'!K16</x:f>
        <x:v>Keep as proposed</x:v>
      </x:c>
      <x:c r="L56" s="170" t="str">
        <x:f>'Phase 3'!L16</x:f>
        <x:v>Pending project review</x:v>
      </x:c>
      <x:c r="M56" s="169" t="str">
        <x:f>IF('Phase 3'!M16="","",'Phase 3'!M16)</x:f>
      </x:c>
    </x:row>
    <x:row r="57" ht="56" customHeight="1">
      <x:c r="A57" s="168" t="str">
        <x:f>'Phase 3'!A17</x:f>
        <x:v>P3-11</x:v>
      </x:c>
      <x:c r="B57" s="168" t="str">
        <x:f>'Phase 3'!B17</x:f>
        <x:v>Phase 3</x:v>
      </x:c>
      <x:c r="C57" s="168" t="str">
        <x:f>'Phase 3'!C17</x:f>
        <x:v>Sabre Connection and Ticketing</x:v>
      </x:c>
      <x:c r="D57" s="147" t="str">
        <x:f>'Phase 3'!D17</x:f>
        <x:v>See failed Sabre actions or queue items that require staff attention.</x:v>
      </x:c>
      <x:c r="E57" s="147" t="str">
        <x:f>'Phase 3'!E17</x:f>
        <x:v>Authorized staff can search live availability, compare suitable options, manage PNRs, and complete controlled ticketing work from the system.</x:v>
      </x:c>
      <x:c r="F57" s="147" t="str">
        <x:f>'Phase 3'!F17</x:f>
        <x:v>Travel Agent; System Administrator</x:v>
      </x:c>
      <x:c r="G57" s="147" t="str">
        <x:f>'Phase 3'!G17</x:f>
        <x:v>High</x:v>
      </x:c>
      <x:c r="H57" s="169" t="str">
        <x:f>'Phase 3'!H17</x:f>
        <x:v>To Be Confirmed</x:v>
      </x:c>
      <x:c r="I57" s="169" t="str">
        <x:f>'Phase 3'!I17</x:f>
        <x:v>Phase 3 — Sabre Connection and Ticketing</x:v>
      </x:c>
      <x:c r="J57" s="147" t="str">
        <x:f>'Phase 3'!J17</x:f>
        <x:v>Requires a stable Phase 2 booking workflow plus approved Sabre API products, credentials, permissions, and test access.</x:v>
      </x:c>
      <x:c r="K57" s="169" t="str">
        <x:f>'Phase 3'!K17</x:f>
        <x:v>Keep as proposed</x:v>
      </x:c>
      <x:c r="L57" s="170" t="str">
        <x:f>'Phase 3'!L17</x:f>
        <x:v>Pending project review</x:v>
      </x:c>
      <x:c r="M57" s="169" t="str">
        <x:f>IF('Phase 3'!M17="","",'Phase 3'!M17)</x:f>
      </x:c>
    </x:row>
    <x:row r="58" ht="56" customHeight="1">
      <x:c r="A58" s="168" t="str">
        <x:f>'Phase 4'!A7</x:f>
        <x:v>P4-01</x:v>
      </x:c>
      <x:c r="B58" s="168" t="str">
        <x:f>'Phase 4'!B7</x:f>
        <x:v>Phase 4</x:v>
      </x:c>
      <x:c r="C58" s="168" t="str">
        <x:f>'Phase 4'!C7</x:f>
        <x:v>Active Trip Support</x:v>
      </x:c>
      <x:c r="D58" s="147" t="str">
        <x:f>'Phase 4'!D7</x:f>
        <x:v>See all clients who are travelling soon and the actions required for each trip.</x:v>
      </x:c>
      <x:c r="E58" s="147" t="str">
        <x:f>'Phase 4'!E7</x:f>
        <x:v>Agents can proactively manage upcoming trips, check-in, schedule changes, urgent support, and post-arrival follow-up.</x:v>
      </x:c>
      <x:c r="F58" s="147" t="str">
        <x:f>'Phase 4'!F7</x:f>
        <x:v>Travel Agent; Supervisor / Manager</x:v>
      </x:c>
      <x:c r="G58" s="147" t="str">
        <x:f>'Phase 4'!G7</x:f>
        <x:v>High</x:v>
      </x:c>
      <x:c r="H58" s="169" t="str">
        <x:f>'Phase 4'!H7</x:f>
        <x:v>To Be Confirmed</x:v>
      </x:c>
      <x:c r="I58" s="169" t="str">
        <x:f>'Phase 4'!I7</x:f>
        <x:v>Phase 4 — Active Trip Support</x:v>
      </x:c>
      <x:c r="J58" s="147" t="str">
        <x:f>'Phase 4'!J7</x:f>
        <x:v>Requires reliable booking, segment, and ticket information; automation improves after the Phase 3 Sabre connection.</x:v>
      </x:c>
      <x:c r="K58" s="169" t="str">
        <x:f>'Phase 4'!K7</x:f>
        <x:v>Keep as proposed</x:v>
      </x:c>
      <x:c r="L58" s="170" t="str">
        <x:f>'Phase 4'!L7</x:f>
        <x:v>Pending project review</x:v>
      </x:c>
      <x:c r="M58" s="169" t="str">
        <x:f>IF('Phase 4'!M7="","",'Phase 4'!M7)</x:f>
      </x:c>
    </x:row>
    <x:row r="59" ht="56" customHeight="1">
      <x:c r="A59" s="168" t="str">
        <x:f>'Phase 4'!A8</x:f>
        <x:v>P4-02</x:v>
      </x:c>
      <x:c r="B59" s="168" t="str">
        <x:f>'Phase 4'!B8</x:f>
        <x:v>Phase 4</x:v>
      </x:c>
      <x:c r="C59" s="168" t="str">
        <x:f>'Phase 4'!C8</x:f>
        <x:v>Active Trip Support</x:v>
      </x:c>
      <x:c r="D59" s="147" t="str">
        <x:f>'Phase 4'!D8</x:f>
        <x:v>Receive alerts for schedule changes, cancellations, ticketing issues, and other urgent events.</x:v>
      </x:c>
      <x:c r="E59" s="147" t="str">
        <x:f>'Phase 4'!E8</x:f>
        <x:v>Agents can proactively manage upcoming trips, check-in, schedule changes, urgent support, and post-arrival follow-up.</x:v>
      </x:c>
      <x:c r="F59" s="147" t="str">
        <x:f>'Phase 4'!F8</x:f>
        <x:v>Travel Agent; Supervisor / Manager</x:v>
      </x:c>
      <x:c r="G59" s="147" t="str">
        <x:f>'Phase 4'!G8</x:f>
        <x:v>High</x:v>
      </x:c>
      <x:c r="H59" s="169" t="str">
        <x:f>'Phase 4'!H8</x:f>
        <x:v>To Be Confirmed</x:v>
      </x:c>
      <x:c r="I59" s="169" t="str">
        <x:f>'Phase 4'!I8</x:f>
        <x:v>Phase 4 — Active Trip Support</x:v>
      </x:c>
      <x:c r="J59" s="147" t="str">
        <x:f>'Phase 4'!J8</x:f>
        <x:v>Requires reliable booking, segment, and ticket information; automation improves after the Phase 3 Sabre connection.</x:v>
      </x:c>
      <x:c r="K59" s="169" t="str">
        <x:f>'Phase 4'!K8</x:f>
        <x:v>Keep as proposed</x:v>
      </x:c>
      <x:c r="L59" s="170" t="str">
        <x:f>'Phase 4'!L8</x:f>
        <x:v>Pending project review</x:v>
      </x:c>
      <x:c r="M59" s="169" t="str">
        <x:f>IF('Phase 4'!M8="","",'Phase 4'!M8)</x:f>
      </x:c>
    </x:row>
    <x:row r="60" ht="56" customHeight="1">
      <x:c r="A60" s="168" t="str">
        <x:f>'Phase 4'!A9</x:f>
        <x:v>P4-03</x:v>
      </x:c>
      <x:c r="B60" s="168" t="str">
        <x:f>'Phase 4'!B9</x:f>
        <x:v>Phase 4</x:v>
      </x:c>
      <x:c r="C60" s="168" t="str">
        <x:f>'Phase 4'!C9</x:f>
        <x:v>Active Trip Support</x:v>
      </x:c>
      <x:c r="D60" s="147" t="str">
        <x:f>'Phase 4'!D9</x:f>
        <x:v>Prepare copy-ready WhatsApp messages for check-in, schedule changes, and travel reminders.</x:v>
      </x:c>
      <x:c r="E60" s="147" t="str">
        <x:f>'Phase 4'!E9</x:f>
        <x:v>Agents can proactively manage upcoming trips, check-in, schedule changes, urgent support, and post-arrival follow-up.</x:v>
      </x:c>
      <x:c r="F60" s="147" t="str">
        <x:f>'Phase 4'!F9</x:f>
        <x:v>Travel Agent; Supervisor / Manager</x:v>
      </x:c>
      <x:c r="G60" s="147" t="str">
        <x:f>'Phase 4'!G9</x:f>
        <x:v>High</x:v>
      </x:c>
      <x:c r="H60" s="169" t="str">
        <x:f>'Phase 4'!H9</x:f>
        <x:v>To Be Confirmed</x:v>
      </x:c>
      <x:c r="I60" s="169" t="str">
        <x:f>'Phase 4'!I9</x:f>
        <x:v>Phase 4 — Active Trip Support</x:v>
      </x:c>
      <x:c r="J60" s="147" t="str">
        <x:f>'Phase 4'!J9</x:f>
        <x:v>Requires reliable booking, segment, and ticket information; automation improves after the Phase 3 Sabre connection.</x:v>
      </x:c>
      <x:c r="K60" s="169" t="str">
        <x:f>'Phase 4'!K9</x:f>
        <x:v>Keep as proposed</x:v>
      </x:c>
      <x:c r="L60" s="170" t="str">
        <x:f>'Phase 4'!L9</x:f>
        <x:v>Pending project review</x:v>
      </x:c>
      <x:c r="M60" s="169" t="str">
        <x:f>IF('Phase 4'!M9="","",'Phase 4'!M9)</x:f>
      </x:c>
    </x:row>
    <x:row r="61" ht="56" customHeight="1">
      <x:c r="A61" s="168" t="str">
        <x:f>'Phase 4'!A10</x:f>
        <x:v>P4-04</x:v>
      </x:c>
      <x:c r="B61" s="168" t="str">
        <x:f>'Phase 4'!B10</x:f>
        <x:v>Phase 4</x:v>
      </x:c>
      <x:c r="C61" s="168" t="str">
        <x:f>'Phase 4'!C10</x:f>
        <x:v>Active Trip Support</x:v>
      </x:c>
      <x:c r="D61" s="147" t="str">
        <x:f>'Phase 4'!D10</x:f>
        <x:v>Track whether the client has confirmed check-in instead of assuming it is complete.</x:v>
      </x:c>
      <x:c r="E61" s="147" t="str">
        <x:f>'Phase 4'!E10</x:f>
        <x:v>Agents can proactively manage upcoming trips, check-in, schedule changes, urgent support, and post-arrival follow-up.</x:v>
      </x:c>
      <x:c r="F61" s="147" t="str">
        <x:f>'Phase 4'!F10</x:f>
        <x:v>Travel Agent; Supervisor / Manager</x:v>
      </x:c>
      <x:c r="G61" s="147" t="str">
        <x:f>'Phase 4'!G10</x:f>
        <x:v>High</x:v>
      </x:c>
      <x:c r="H61" s="169" t="str">
        <x:f>'Phase 4'!H10</x:f>
        <x:v>To Be Confirmed</x:v>
      </x:c>
      <x:c r="I61" s="169" t="str">
        <x:f>'Phase 4'!I10</x:f>
        <x:v>Phase 4 — Active Trip Support</x:v>
      </x:c>
      <x:c r="J61" s="147" t="str">
        <x:f>'Phase 4'!J10</x:f>
        <x:v>Requires reliable booking, segment, and ticket information; automation improves after the Phase 3 Sabre connection.</x:v>
      </x:c>
      <x:c r="K61" s="169" t="str">
        <x:f>'Phase 4'!K10</x:f>
        <x:v>Keep as proposed</x:v>
      </x:c>
      <x:c r="L61" s="170" t="str">
        <x:f>'Phase 4'!L10</x:f>
        <x:v>Pending project review</x:v>
      </x:c>
      <x:c r="M61" s="169" t="str">
        <x:f>IF('Phase 4'!M10="","",'Phase 4'!M10)</x:f>
      </x:c>
    </x:row>
    <x:row r="62" ht="56" customHeight="1">
      <x:c r="A62" s="168" t="str">
        <x:f>'Phase 4'!A11</x:f>
        <x:v>P4-05</x:v>
      </x:c>
      <x:c r="B62" s="168" t="str">
        <x:f>'Phase 4'!B11</x:f>
        <x:v>Phase 4</x:v>
      </x:c>
      <x:c r="C62" s="168" t="str">
        <x:f>'Phase 4'!C11</x:f>
        <x:v>Active Trip Support</x:v>
      </x:c>
      <x:c r="D62" s="147" t="str">
        <x:f>'Phase 4'!D11</x:f>
        <x:v>Receive follow-up and escalation reminders when check-in has not been confirmed.</x:v>
      </x:c>
      <x:c r="E62" s="147" t="str">
        <x:f>'Phase 4'!E11</x:f>
        <x:v>Agents can proactively manage upcoming trips, check-in, schedule changes, urgent support, and post-arrival follow-up.</x:v>
      </x:c>
      <x:c r="F62" s="147" t="str">
        <x:f>'Phase 4'!F11</x:f>
        <x:v>Travel Agent; Supervisor / Manager</x:v>
      </x:c>
      <x:c r="G62" s="147" t="str">
        <x:f>'Phase 4'!G11</x:f>
        <x:v>High</x:v>
      </x:c>
      <x:c r="H62" s="169" t="str">
        <x:f>'Phase 4'!H11</x:f>
        <x:v>To Be Confirmed</x:v>
      </x:c>
      <x:c r="I62" s="169" t="str">
        <x:f>'Phase 4'!I11</x:f>
        <x:v>Phase 4 — Active Trip Support</x:v>
      </x:c>
      <x:c r="J62" s="147" t="str">
        <x:f>'Phase 4'!J11</x:f>
        <x:v>Requires reliable booking, segment, and ticket information; automation improves after the Phase 3 Sabre connection.</x:v>
      </x:c>
      <x:c r="K62" s="169" t="str">
        <x:f>'Phase 4'!K11</x:f>
        <x:v>Keep as proposed</x:v>
      </x:c>
      <x:c r="L62" s="170" t="str">
        <x:f>'Phase 4'!L11</x:f>
        <x:v>Pending project review</x:v>
      </x:c>
      <x:c r="M62" s="169" t="str">
        <x:f>IF('Phase 4'!M11="","",'Phase 4'!M11)</x:f>
      </x:c>
    </x:row>
    <x:row r="63" ht="56" customHeight="1">
      <x:c r="A63" s="168" t="str">
        <x:f>'Phase 4'!A12</x:f>
        <x:v>P4-06</x:v>
      </x:c>
      <x:c r="B63" s="168" t="str">
        <x:f>'Phase 4'!B12</x:f>
        <x:v>Phase 4</x:v>
      </x:c>
      <x:c r="C63" s="168" t="str">
        <x:f>'Phase 4'!C12</x:f>
        <x:v>Active Trip Support</x:v>
      </x:c>
      <x:c r="D63" s="147" t="str">
        <x:f>'Phase 4'!D12</x:f>
        <x:v>Record boarding-pass status, seat status, baggage questions, and special-service requests.</x:v>
      </x:c>
      <x:c r="E63" s="147" t="str">
        <x:f>'Phase 4'!E12</x:f>
        <x:v>Agents can proactively manage upcoming trips, check-in, schedule changes, urgent support, and post-arrival follow-up.</x:v>
      </x:c>
      <x:c r="F63" s="147" t="str">
        <x:f>'Phase 4'!F12</x:f>
        <x:v>Travel Agent; Supervisor / Manager</x:v>
      </x:c>
      <x:c r="G63" s="147" t="str">
        <x:f>'Phase 4'!G12</x:f>
        <x:v>High</x:v>
      </x:c>
      <x:c r="H63" s="169" t="str">
        <x:f>'Phase 4'!H12</x:f>
        <x:v>To Be Confirmed</x:v>
      </x:c>
      <x:c r="I63" s="169" t="str">
        <x:f>'Phase 4'!I12</x:f>
        <x:v>Phase 4 — Active Trip Support</x:v>
      </x:c>
      <x:c r="J63" s="147" t="str">
        <x:f>'Phase 4'!J12</x:f>
        <x:v>Requires reliable booking, segment, and ticket information; automation improves after the Phase 3 Sabre connection.</x:v>
      </x:c>
      <x:c r="K63" s="169" t="str">
        <x:f>'Phase 4'!K12</x:f>
        <x:v>Keep as proposed</x:v>
      </x:c>
      <x:c r="L63" s="170" t="str">
        <x:f>'Phase 4'!L12</x:f>
        <x:v>Pending project review</x:v>
      </x:c>
      <x:c r="M63" s="169" t="str">
        <x:f>IF('Phase 4'!M12="","",'Phase 4'!M12)</x:f>
      </x:c>
    </x:row>
    <x:row r="64" ht="56" customHeight="1">
      <x:c r="A64" s="168" t="str">
        <x:f>'Phase 4'!A13</x:f>
        <x:v>P4-07</x:v>
      </x:c>
      <x:c r="B64" s="168" t="str">
        <x:f>'Phase 4'!B13</x:f>
        <x:v>Phase 4</x:v>
      </x:c>
      <x:c r="C64" s="168" t="str">
        <x:f>'Phase 4'!C13</x:f>
        <x:v>Active Trip Support</x:v>
      </x:c>
      <x:c r="D64" s="147" t="str">
        <x:f>'Phase 4'!D13</x:f>
        <x:v>Open and assign a support case when a client needs help before or during travel.</x:v>
      </x:c>
      <x:c r="E64" s="147" t="str">
        <x:f>'Phase 4'!E13</x:f>
        <x:v>Agents can proactively manage upcoming trips, check-in, schedule changes, urgent support, and post-arrival follow-up.</x:v>
      </x:c>
      <x:c r="F64" s="147" t="str">
        <x:f>'Phase 4'!F13</x:f>
        <x:v>Travel Agent; Supervisor / Manager</x:v>
      </x:c>
      <x:c r="G64" s="147" t="str">
        <x:f>'Phase 4'!G13</x:f>
        <x:v>High</x:v>
      </x:c>
      <x:c r="H64" s="169" t="str">
        <x:f>'Phase 4'!H13</x:f>
        <x:v>To Be Confirmed</x:v>
      </x:c>
      <x:c r="I64" s="169" t="str">
        <x:f>'Phase 4'!I13</x:f>
        <x:v>Phase 4 — Active Trip Support</x:v>
      </x:c>
      <x:c r="J64" s="147" t="str">
        <x:f>'Phase 4'!J13</x:f>
        <x:v>Requires reliable booking, segment, and ticket information; automation improves after the Phase 3 Sabre connection.</x:v>
      </x:c>
      <x:c r="K64" s="169" t="str">
        <x:f>'Phase 4'!K13</x:f>
        <x:v>Keep as proposed</x:v>
      </x:c>
      <x:c r="L64" s="170" t="str">
        <x:f>'Phase 4'!L13</x:f>
        <x:v>Pending project review</x:v>
      </x:c>
      <x:c r="M64" s="169" t="str">
        <x:f>IF('Phase 4'!M13="","",'Phase 4'!M13)</x:f>
      </x:c>
    </x:row>
    <x:row r="65" ht="56" customHeight="1">
      <x:c r="A65" s="168" t="str">
        <x:f>'Phase 4'!A14</x:f>
        <x:v>P4-08</x:v>
      </x:c>
      <x:c r="B65" s="168" t="str">
        <x:f>'Phase 4'!B14</x:f>
        <x:v>Phase 4</x:v>
      </x:c>
      <x:c r="C65" s="168" t="str">
        <x:f>'Phase 4'!C14</x:f>
        <x:v>Active Trip Support</x:v>
      </x:c>
      <x:c r="D65" s="147" t="str">
        <x:f>'Phase 4'!D14</x:f>
        <x:v>Record airline contacts, actions taken, and the final result of each support case.</x:v>
      </x:c>
      <x:c r="E65" s="147" t="str">
        <x:f>'Phase 4'!E14</x:f>
        <x:v>Agents can proactively manage upcoming trips, check-in, schedule changes, urgent support, and post-arrival follow-up.</x:v>
      </x:c>
      <x:c r="F65" s="147" t="str">
        <x:f>'Phase 4'!F14</x:f>
        <x:v>Travel Agent; Supervisor / Manager</x:v>
      </x:c>
      <x:c r="G65" s="147" t="str">
        <x:f>'Phase 4'!G14</x:f>
        <x:v>High</x:v>
      </x:c>
      <x:c r="H65" s="169" t="str">
        <x:f>'Phase 4'!H14</x:f>
        <x:v>To Be Confirmed</x:v>
      </x:c>
      <x:c r="I65" s="169" t="str">
        <x:f>'Phase 4'!I14</x:f>
        <x:v>Phase 4 — Active Trip Support</x:v>
      </x:c>
      <x:c r="J65" s="147" t="str">
        <x:f>'Phase 4'!J14</x:f>
        <x:v>Requires reliable booking, segment, and ticket information; automation improves after the Phase 3 Sabre connection.</x:v>
      </x:c>
      <x:c r="K65" s="169" t="str">
        <x:f>'Phase 4'!K14</x:f>
        <x:v>Keep as proposed</x:v>
      </x:c>
      <x:c r="L65" s="170" t="str">
        <x:f>'Phase 4'!L14</x:f>
        <x:v>Pending project review</x:v>
      </x:c>
      <x:c r="M65" s="169" t="str">
        <x:f>IF('Phase 4'!M14="","",'Phase 4'!M14)</x:f>
      </x:c>
    </x:row>
    <x:row r="66" ht="56" customHeight="1">
      <x:c r="A66" s="168" t="str">
        <x:f>'Phase 4'!A15</x:f>
        <x:v>P4-09</x:v>
      </x:c>
      <x:c r="B66" s="168" t="str">
        <x:f>'Phase 4'!B15</x:f>
        <x:v>Phase 4</x:v>
      </x:c>
      <x:c r="C66" s="168" t="str">
        <x:f>'Phase 4'!C15</x:f>
        <x:v>Active Trip Support</x:v>
      </x:c>
      <x:c r="D66" s="147" t="str">
        <x:f>'Phase 4'!D15</x:f>
        <x:v>Receive a reminder to contact the client after arrival and record any delay, baggage, or service issue.</x:v>
      </x:c>
      <x:c r="E66" s="147" t="str">
        <x:f>'Phase 4'!E15</x:f>
        <x:v>Agents can proactively manage upcoming trips, check-in, schedule changes, urgent support, and post-arrival follow-up.</x:v>
      </x:c>
      <x:c r="F66" s="147" t="str">
        <x:f>'Phase 4'!F15</x:f>
        <x:v>Travel Agent; Supervisor / Manager</x:v>
      </x:c>
      <x:c r="G66" s="147" t="str">
        <x:f>'Phase 4'!G15</x:f>
        <x:v>High</x:v>
      </x:c>
      <x:c r="H66" s="169" t="str">
        <x:f>'Phase 4'!H15</x:f>
        <x:v>To Be Confirmed</x:v>
      </x:c>
      <x:c r="I66" s="169" t="str">
        <x:f>'Phase 4'!I15</x:f>
        <x:v>Phase 4 — Active Trip Support</x:v>
      </x:c>
      <x:c r="J66" s="147" t="str">
        <x:f>'Phase 4'!J15</x:f>
        <x:v>Requires reliable booking, segment, and ticket information; automation improves after the Phase 3 Sabre connection.</x:v>
      </x:c>
      <x:c r="K66" s="169" t="str">
        <x:f>'Phase 4'!K15</x:f>
        <x:v>Keep as proposed</x:v>
      </x:c>
      <x:c r="L66" s="170" t="str">
        <x:f>'Phase 4'!L15</x:f>
        <x:v>Pending project review</x:v>
      </x:c>
      <x:c r="M66" s="169" t="str">
        <x:f>IF('Phase 4'!M15="","",'Phase 4'!M15)</x:f>
      </x:c>
    </x:row>
    <x:row r="67" ht="56" customHeight="1">
      <x:c r="A67" s="168" t="str">
        <x:f>'Phase 5'!A7</x:f>
        <x:v>P5-01</x:v>
      </x:c>
      <x:c r="B67" s="168" t="str">
        <x:f>'Phase 5'!B7</x:f>
        <x:v>Phase 5</x:v>
      </x:c>
      <x:c r="C67" s="168" t="str">
        <x:f>'Phase 5'!C7</x:f>
        <x:v>Changes, Cancellations, Exchanges, and Refunds</x:v>
      </x:c>
      <x:c r="D67" s="147" t="str">
        <x:f>'Phase 5'!D7</x:f>
        <x:v>Create a change, cancellation, exchange, or refund request from the original booking.</x:v>
      </x:c>
      <x:c r="E67" s="147" t="str">
        <x:f>'Phase 5'!E7</x:f>
        <x:v>Post-ticketing changes and financial consequences are handled through a controlled, auditable process with client approval.</x:v>
      </x:c>
      <x:c r="F67" s="147" t="str">
        <x:f>'Phase 5'!F7</x:f>
        <x:v>Ticketing Agent; Finance User; Supervisor / Manager</x:v>
      </x:c>
      <x:c r="G67" s="147" t="str">
        <x:f>'Phase 5'!G7</x:f>
        <x:v>High</x:v>
      </x:c>
      <x:c r="H67" s="169" t="str">
        <x:f>'Phase 5'!H7</x:f>
        <x:v>To Be Confirmed</x:v>
      </x:c>
      <x:c r="I67" s="169" t="str">
        <x:f>'Phase 5'!I7</x:f>
        <x:v>Phase 5 — Changes, Cancellations, Exchanges, and Refunds</x:v>
      </x:c>
      <x:c r="J67" s="147" t="str">
        <x:f>'Phase 5'!J7</x:f>
        <x:v>Requires booking and ticket history, authorization controls, payment confirmation, and ticketing capabilities from earlier phases.</x:v>
      </x:c>
      <x:c r="K67" s="169" t="str">
        <x:f>'Phase 5'!K7</x:f>
        <x:v>Keep as proposed</x:v>
      </x:c>
      <x:c r="L67" s="170" t="str">
        <x:f>'Phase 5'!L7</x:f>
        <x:v>Pending project review</x:v>
      </x:c>
      <x:c r="M67" s="169" t="str">
        <x:f>IF('Phase 5'!M7="","",'Phase 5'!M7)</x:f>
      </x:c>
    </x:row>
    <x:row r="68" ht="56" customHeight="1">
      <x:c r="A68" s="168" t="str">
        <x:f>'Phase 5'!A8</x:f>
        <x:v>P5-02</x:v>
      </x:c>
      <x:c r="B68" s="168" t="str">
        <x:f>'Phase 5'!B8</x:f>
        <x:v>Phase 5</x:v>
      </x:c>
      <x:c r="C68" s="168" t="str">
        <x:f>'Phase 5'!C8</x:f>
        <x:v>Changes, Cancellations, Exchanges, and Refunds</x:v>
      </x:c>
      <x:c r="D68" s="147" t="str">
        <x:f>'Phase 5'!D8</x:f>
        <x:v>Select the affected travellers, tickets, and flight segments.</x:v>
      </x:c>
      <x:c r="E68" s="147" t="str">
        <x:f>'Phase 5'!E8</x:f>
        <x:v>Post-ticketing changes and financial consequences are handled through a controlled, auditable process with client approval.</x:v>
      </x:c>
      <x:c r="F68" s="147" t="str">
        <x:f>'Phase 5'!F8</x:f>
        <x:v>Travel Agent; Ticketing Agent; Supervisor / Manager</x:v>
      </x:c>
      <x:c r="G68" s="147" t="str">
        <x:f>'Phase 5'!G8</x:f>
        <x:v>High</x:v>
      </x:c>
      <x:c r="H68" s="169" t="str">
        <x:f>'Phase 5'!H8</x:f>
        <x:v>To Be Confirmed</x:v>
      </x:c>
      <x:c r="I68" s="169" t="str">
        <x:f>'Phase 5'!I8</x:f>
        <x:v>Phase 5 — Changes, Cancellations, Exchanges, and Refunds</x:v>
      </x:c>
      <x:c r="J68" s="147" t="str">
        <x:f>'Phase 5'!J8</x:f>
        <x:v>Requires booking and ticket history, authorization controls, payment confirmation, and ticketing capabilities from earlier phases.</x:v>
      </x:c>
      <x:c r="K68" s="169" t="str">
        <x:f>'Phase 5'!K8</x:f>
        <x:v>Keep as proposed</x:v>
      </x:c>
      <x:c r="L68" s="170" t="str">
        <x:f>'Phase 5'!L8</x:f>
        <x:v>Pending project review</x:v>
      </x:c>
      <x:c r="M68" s="169" t="str">
        <x:f>IF('Phase 5'!M8="","",'Phase 5'!M8)</x:f>
      </x:c>
    </x:row>
    <x:row r="69" ht="56" customHeight="1">
      <x:c r="A69" s="168" t="str">
        <x:f>'Phase 5'!A9</x:f>
        <x:v>P5-03</x:v>
      </x:c>
      <x:c r="B69" s="168" t="str">
        <x:f>'Phase 5'!B9</x:f>
        <x:v>Phase 5</x:v>
      </x:c>
      <x:c r="C69" s="168" t="str">
        <x:f>'Phase 5'!C9</x:f>
        <x:v>Changes, Cancellations, Exchanges, and Refunds</x:v>
      </x:c>
      <x:c r="D69" s="147" t="str">
        <x:f>'Phase 5'!D9</x:f>
        <x:v>Review whether a ticket is unused, partially used, refundable, or restricted.</x:v>
      </x:c>
      <x:c r="E69" s="147" t="str">
        <x:f>'Phase 5'!E9</x:f>
        <x:v>Post-ticketing changes and financial consequences are handled through a controlled, auditable process with client approval.</x:v>
      </x:c>
      <x:c r="F69" s="147" t="str">
        <x:f>'Phase 5'!F9</x:f>
        <x:v>Ticketing Agent; Finance User; Supervisor / Manager</x:v>
      </x:c>
      <x:c r="G69" s="147" t="str">
        <x:f>'Phase 5'!G9</x:f>
        <x:v>High</x:v>
      </x:c>
      <x:c r="H69" s="169" t="str">
        <x:f>'Phase 5'!H9</x:f>
        <x:v>To Be Confirmed</x:v>
      </x:c>
      <x:c r="I69" s="169" t="str">
        <x:f>'Phase 5'!I9</x:f>
        <x:v>Phase 5 — Changes, Cancellations, Exchanges, and Refunds</x:v>
      </x:c>
      <x:c r="J69" s="147" t="str">
        <x:f>'Phase 5'!J9</x:f>
        <x:v>Requires booking and ticket history, authorization controls, payment confirmation, and ticketing capabilities from earlier phases.</x:v>
      </x:c>
      <x:c r="K69" s="169" t="str">
        <x:f>'Phase 5'!K9</x:f>
        <x:v>Keep as proposed</x:v>
      </x:c>
      <x:c r="L69" s="170" t="str">
        <x:f>'Phase 5'!L9</x:f>
        <x:v>Pending project review</x:v>
      </x:c>
      <x:c r="M69" s="169" t="str">
        <x:f>IF('Phase 5'!M9="","",'Phase 5'!M9)</x:f>
      </x:c>
    </x:row>
    <x:row r="70" ht="56" customHeight="1">
      <x:c r="A70" s="168" t="str">
        <x:f>'Phase 5'!A10</x:f>
        <x:v>P5-04</x:v>
      </x:c>
      <x:c r="B70" s="168" t="str">
        <x:f>'Phase 5'!B10</x:f>
        <x:v>Phase 5</x:v>
      </x:c>
      <x:c r="C70" s="168" t="str">
        <x:f>'Phase 5'!C10</x:f>
        <x:v>Changes, Cancellations, Exchanges, and Refunds</x:v>
      </x:c>
      <x:c r="D70" s="147" t="str">
        <x:f>'Phase 5'!D10</x:f>
        <x:v>Compare replacement flight options and calculate fare differences, taxes, penalties, and other amounts due.</x:v>
      </x:c>
      <x:c r="E70" s="147" t="str">
        <x:f>'Phase 5'!E10</x:f>
        <x:v>Post-ticketing changes and financial consequences are handled through a controlled, auditable process with client approval.</x:v>
      </x:c>
      <x:c r="F70" s="147" t="str">
        <x:f>'Phase 5'!F10</x:f>
        <x:v>Travel Agent; Ticketing Agent; Supervisor / Manager</x:v>
      </x:c>
      <x:c r="G70" s="147" t="str">
        <x:f>'Phase 5'!G10</x:f>
        <x:v>High</x:v>
      </x:c>
      <x:c r="H70" s="169" t="str">
        <x:f>'Phase 5'!H10</x:f>
        <x:v>To Be Confirmed</x:v>
      </x:c>
      <x:c r="I70" s="169" t="str">
        <x:f>'Phase 5'!I10</x:f>
        <x:v>Phase 5 — Changes, Cancellations, Exchanges, and Refunds</x:v>
      </x:c>
      <x:c r="J70" s="147" t="str">
        <x:f>'Phase 5'!J10</x:f>
        <x:v>Requires booking and ticket history, authorization controls, payment confirmation, and ticketing capabilities from earlier phases.</x:v>
      </x:c>
      <x:c r="K70" s="169" t="str">
        <x:f>'Phase 5'!K10</x:f>
        <x:v>Keep as proposed</x:v>
      </x:c>
      <x:c r="L70" s="170" t="str">
        <x:f>'Phase 5'!L10</x:f>
        <x:v>Pending project review</x:v>
      </x:c>
      <x:c r="M70" s="169" t="str">
        <x:f>IF('Phase 5'!M10="","",'Phase 5'!M10)</x:f>
      </x:c>
    </x:row>
    <x:row r="71" ht="56" customHeight="1">
      <x:c r="A71" s="168" t="str">
        <x:f>'Phase 5'!A11</x:f>
        <x:v>P5-05</x:v>
      </x:c>
      <x:c r="B71" s="168" t="str">
        <x:f>'Phase 5'!B11</x:f>
        <x:v>Phase 5</x:v>
      </x:c>
      <x:c r="C71" s="168" t="str">
        <x:f>'Phase 5'!C11</x:f>
        <x:v>Changes, Cancellations, Exchanges, and Refunds</x:v>
      </x:c>
      <x:c r="D71" s="147" t="str">
        <x:f>'Phase 5'!D11</x:f>
        <x:v>Prepare a clear client explanation showing the available options and costs.</x:v>
      </x:c>
      <x:c r="E71" s="147" t="str">
        <x:f>'Phase 5'!E11</x:f>
        <x:v>Post-ticketing changes and financial consequences are handled through a controlled, auditable process with client approval.</x:v>
      </x:c>
      <x:c r="F71" s="147" t="str">
        <x:f>'Phase 5'!F11</x:f>
        <x:v>Travel Agent; Ticketing Agent; Supervisor / Manager</x:v>
      </x:c>
      <x:c r="G71" s="147" t="str">
        <x:f>'Phase 5'!G11</x:f>
        <x:v>High</x:v>
      </x:c>
      <x:c r="H71" s="169" t="str">
        <x:f>'Phase 5'!H11</x:f>
        <x:v>To Be Confirmed</x:v>
      </x:c>
      <x:c r="I71" s="169" t="str">
        <x:f>'Phase 5'!I11</x:f>
        <x:v>Phase 5 — Changes, Cancellations, Exchanges, and Refunds</x:v>
      </x:c>
      <x:c r="J71" s="147" t="str">
        <x:f>'Phase 5'!J11</x:f>
        <x:v>Requires booking and ticket history, authorization controls, payment confirmation, and ticketing capabilities from earlier phases.</x:v>
      </x:c>
      <x:c r="K71" s="169" t="str">
        <x:f>'Phase 5'!K11</x:f>
        <x:v>Keep as proposed</x:v>
      </x:c>
      <x:c r="L71" s="170" t="str">
        <x:f>'Phase 5'!L11</x:f>
        <x:v>Pending project review</x:v>
      </x:c>
      <x:c r="M71" s="169" t="str">
        <x:f>IF('Phase 5'!M11="","",'Phase 5'!M11)</x:f>
      </x:c>
    </x:row>
    <x:row r="72" ht="56" customHeight="1">
      <x:c r="A72" s="168" t="str">
        <x:f>'Phase 5'!A12</x:f>
        <x:v>P5-06</x:v>
      </x:c>
      <x:c r="B72" s="168" t="str">
        <x:f>'Phase 5'!B12</x:f>
        <x:v>Phase 5</x:v>
      </x:c>
      <x:c r="C72" s="168" t="str">
        <x:f>'Phase 5'!C12</x:f>
        <x:v>Changes, Cancellations, Exchanges, and Refunds</x:v>
      </x:c>
      <x:c r="D72" s="147" t="str">
        <x:f>'Phase 5'!D12</x:f>
        <x:v>Record the client’s approval before a sensitive action is performed.</x:v>
      </x:c>
      <x:c r="E72" s="147" t="str">
        <x:f>'Phase 5'!E12</x:f>
        <x:v>Post-ticketing changes and financial consequences are handled through a controlled, auditable process with client approval.</x:v>
      </x:c>
      <x:c r="F72" s="147" t="str">
        <x:f>'Phase 5'!F12</x:f>
        <x:v>Travel Agent; Ticketing Agent; Supervisor / Manager</x:v>
      </x:c>
      <x:c r="G72" s="147" t="str">
        <x:f>'Phase 5'!G12</x:f>
        <x:v>High</x:v>
      </x:c>
      <x:c r="H72" s="169" t="str">
        <x:f>'Phase 5'!H12</x:f>
        <x:v>To Be Confirmed</x:v>
      </x:c>
      <x:c r="I72" s="169" t="str">
        <x:f>'Phase 5'!I12</x:f>
        <x:v>Phase 5 — Changes, Cancellations, Exchanges, and Refunds</x:v>
      </x:c>
      <x:c r="J72" s="147" t="str">
        <x:f>'Phase 5'!J12</x:f>
        <x:v>Requires booking and ticket history, authorization controls, payment confirmation, and ticketing capabilities from earlier phases.</x:v>
      </x:c>
      <x:c r="K72" s="169" t="str">
        <x:f>'Phase 5'!K12</x:f>
        <x:v>Keep as proposed</x:v>
      </x:c>
      <x:c r="L72" s="170" t="str">
        <x:f>'Phase 5'!L12</x:f>
        <x:v>Pending project review</x:v>
      </x:c>
      <x:c r="M72" s="169" t="str">
        <x:f>IF('Phase 5'!M12="","",'Phase 5'!M12)</x:f>
      </x:c>
    </x:row>
    <x:row r="73" ht="56" customHeight="1">
      <x:c r="A73" s="168" t="str">
        <x:f>'Phase 5'!A13</x:f>
        <x:v>P5-07</x:v>
      </x:c>
      <x:c r="B73" s="168" t="str">
        <x:f>'Phase 5'!B13</x:f>
        <x:v>Phase 5</x:v>
      </x:c>
      <x:c r="C73" s="168" t="str">
        <x:f>'Phase 5'!C13</x:f>
        <x:v>Changes, Cancellations, Exchanges, and Refunds</x:v>
      </x:c>
      <x:c r="D73" s="147" t="str">
        <x:f>'Phase 5'!D13</x:f>
        <x:v>Collect and confirm any additional payment before reissuing a ticket.</x:v>
      </x:c>
      <x:c r="E73" s="147" t="str">
        <x:f>'Phase 5'!E13</x:f>
        <x:v>Post-ticketing changes and financial consequences are handled through a controlled, auditable process with client approval.</x:v>
      </x:c>
      <x:c r="F73" s="147" t="str">
        <x:f>'Phase 5'!F13</x:f>
        <x:v>Ticketing Agent; Finance User; Supervisor / Manager</x:v>
      </x:c>
      <x:c r="G73" s="147" t="str">
        <x:f>'Phase 5'!G13</x:f>
        <x:v>High</x:v>
      </x:c>
      <x:c r="H73" s="169" t="str">
        <x:f>'Phase 5'!H13</x:f>
        <x:v>To Be Confirmed</x:v>
      </x:c>
      <x:c r="I73" s="169" t="str">
        <x:f>'Phase 5'!I13</x:f>
        <x:v>Phase 5 — Changes, Cancellations, Exchanges, and Refunds</x:v>
      </x:c>
      <x:c r="J73" s="147" t="str">
        <x:f>'Phase 5'!J13</x:f>
        <x:v>Requires booking and ticket history, authorization controls, payment confirmation, and ticketing capabilities from earlier phases.</x:v>
      </x:c>
      <x:c r="K73" s="169" t="str">
        <x:f>'Phase 5'!K13</x:f>
        <x:v>Keep as proposed</x:v>
      </x:c>
      <x:c r="L73" s="170" t="str">
        <x:f>'Phase 5'!L13</x:f>
        <x:v>Pending project review</x:v>
      </x:c>
      <x:c r="M73" s="169" t="str">
        <x:f>IF('Phase 5'!M13="","",'Phase 5'!M13)</x:f>
      </x:c>
    </x:row>
    <x:row r="74" ht="56" customHeight="1">
      <x:c r="A74" s="168" t="str">
        <x:f>'Phase 5'!A14</x:f>
        <x:v>P5-08</x:v>
      </x:c>
      <x:c r="B74" s="168" t="str">
        <x:f>'Phase 5'!B14</x:f>
        <x:v>Phase 5</x:v>
      </x:c>
      <x:c r="C74" s="168" t="str">
        <x:f>'Phase 5'!C14</x:f>
        <x:v>Changes, Cancellations, Exchanges, and Refunds</x:v>
      </x:c>
      <x:c r="D74" s="147" t="str">
        <x:f>'Phase 5'!D14</x:f>
        <x:v>Allow only authorized staff to reissue, void, cancel, or refund a ticket.</x:v>
      </x:c>
      <x:c r="E74" s="147" t="str">
        <x:f>'Phase 5'!E14</x:f>
        <x:v>Post-ticketing changes and financial consequences are handled through a controlled, auditable process with client approval.</x:v>
      </x:c>
      <x:c r="F74" s="147" t="str">
        <x:f>'Phase 5'!F14</x:f>
        <x:v>Ticketing Agent; Finance User; Supervisor / Manager</x:v>
      </x:c>
      <x:c r="G74" s="147" t="str">
        <x:f>'Phase 5'!G14</x:f>
        <x:v>High</x:v>
      </x:c>
      <x:c r="H74" s="169" t="str">
        <x:f>'Phase 5'!H14</x:f>
        <x:v>To Be Confirmed</x:v>
      </x:c>
      <x:c r="I74" s="169" t="str">
        <x:f>'Phase 5'!I14</x:f>
        <x:v>Phase 5 — Changes, Cancellations, Exchanges, and Refunds</x:v>
      </x:c>
      <x:c r="J74" s="147" t="str">
        <x:f>'Phase 5'!J14</x:f>
        <x:v>Requires booking and ticket history, authorization controls, payment confirmation, and ticketing capabilities from earlier phases.</x:v>
      </x:c>
      <x:c r="K74" s="169" t="str">
        <x:f>'Phase 5'!K14</x:f>
        <x:v>Keep as proposed</x:v>
      </x:c>
      <x:c r="L74" s="170" t="str">
        <x:f>'Phase 5'!L14</x:f>
        <x:v>Pending project review</x:v>
      </x:c>
      <x:c r="M74" s="169" t="str">
        <x:f>IF('Phase 5'!M14="","",'Phase 5'!M14)</x:f>
      </x:c>
    </x:row>
    <x:row r="75" ht="56" customHeight="1">
      <x:c r="A75" s="168" t="str">
        <x:f>'Phase 5'!A15</x:f>
        <x:v>P5-09</x:v>
      </x:c>
      <x:c r="B75" s="168" t="str">
        <x:f>'Phase 5'!B15</x:f>
        <x:v>Phase 5</x:v>
      </x:c>
      <x:c r="C75" s="168" t="str">
        <x:f>'Phase 5'!C15</x:f>
        <x:v>Changes, Cancellations, Exchanges, and Refunds</x:v>
      </x:c>
      <x:c r="D75" s="147" t="str">
        <x:f>'Phase 5'!D15</x:f>
        <x:v>Keep the original and replacement tickets connected so the complete history is easy to follow.</x:v>
      </x:c>
      <x:c r="E75" s="147" t="str">
        <x:f>'Phase 5'!E15</x:f>
        <x:v>Post-ticketing changes and financial consequences are handled through a controlled, auditable process with client approval.</x:v>
      </x:c>
      <x:c r="F75" s="147" t="str">
        <x:f>'Phase 5'!F15</x:f>
        <x:v>Travel Agent; Ticketing Agent; Supervisor / Manager</x:v>
      </x:c>
      <x:c r="G75" s="147" t="str">
        <x:f>'Phase 5'!G15</x:f>
        <x:v>High</x:v>
      </x:c>
      <x:c r="H75" s="169" t="str">
        <x:f>'Phase 5'!H15</x:f>
        <x:v>To Be Confirmed</x:v>
      </x:c>
      <x:c r="I75" s="169" t="str">
        <x:f>'Phase 5'!I15</x:f>
        <x:v>Phase 5 — Changes, Cancellations, Exchanges, and Refunds</x:v>
      </x:c>
      <x:c r="J75" s="147" t="str">
        <x:f>'Phase 5'!J15</x:f>
        <x:v>Requires booking and ticket history, authorization controls, payment confirmation, and ticketing capabilities from earlier phases.</x:v>
      </x:c>
      <x:c r="K75" s="169" t="str">
        <x:f>'Phase 5'!K15</x:f>
        <x:v>Keep as proposed</x:v>
      </x:c>
      <x:c r="L75" s="170" t="str">
        <x:f>'Phase 5'!L15</x:f>
        <x:v>Pending project review</x:v>
      </x:c>
      <x:c r="M75" s="169" t="str">
        <x:f>IF('Phase 5'!M15="","",'Phase 5'!M15)</x:f>
      </x:c>
    </x:row>
    <x:row r="76" ht="56" customHeight="1">
      <x:c r="A76" s="168" t="str">
        <x:f>'Phase 5'!A16</x:f>
        <x:v>P5-10</x:v>
      </x:c>
      <x:c r="B76" s="168" t="str">
        <x:f>'Phase 5'!B16</x:f>
        <x:v>Phase 5</x:v>
      </x:c>
      <x:c r="C76" s="168" t="str">
        <x:f>'Phase 5'!C16</x:f>
        <x:v>Changes, Cancellations, Exchanges, and Refunds</x:v>
      </x:c>
      <x:c r="D76" s="147" t="str">
        <x:f>'Phase 5'!D16</x:f>
        <x:v>Track client refunds, airline refunds, credit memos, residual value, vouchers, EMDs, waivers, and related accounting references.</x:v>
      </x:c>
      <x:c r="E76" s="147" t="str">
        <x:f>'Phase 5'!E16</x:f>
        <x:v>Post-ticketing changes and financial consequences are handled through a controlled, auditable process with client approval.</x:v>
      </x:c>
      <x:c r="F76" s="147" t="str">
        <x:f>'Phase 5'!F16</x:f>
        <x:v>Ticketing Agent; Finance User; Supervisor / Manager</x:v>
      </x:c>
      <x:c r="G76" s="147" t="str">
        <x:f>'Phase 5'!G16</x:f>
        <x:v>High</x:v>
      </x:c>
      <x:c r="H76" s="169" t="str">
        <x:f>'Phase 5'!H16</x:f>
        <x:v>To Be Confirmed</x:v>
      </x:c>
      <x:c r="I76" s="169" t="str">
        <x:f>'Phase 5'!I16</x:f>
        <x:v>Phase 5 — Changes, Cancellations, Exchanges, and Refunds</x:v>
      </x:c>
      <x:c r="J76" s="147" t="str">
        <x:f>'Phase 5'!J16</x:f>
        <x:v>Requires booking and ticket history, authorization controls, payment confirmation, and ticketing capabilities from earlier phases.</x:v>
      </x:c>
      <x:c r="K76" s="169" t="str">
        <x:f>'Phase 5'!K16</x:f>
        <x:v>Keep as proposed</x:v>
      </x:c>
      <x:c r="L76" s="170" t="str">
        <x:f>'Phase 5'!L16</x:f>
        <x:v>Pending project review</x:v>
      </x:c>
      <x:c r="M76" s="169" t="str">
        <x:f>IF('Phase 5'!M16="","",'Phase 5'!M16)</x:f>
      </x:c>
    </x:row>
    <x:row r="77" ht="56" customHeight="1">
      <x:c r="A77" s="168" t="str">
        <x:f>'Phase 5'!A17</x:f>
        <x:v>P5-11</x:v>
      </x:c>
      <x:c r="B77" s="168" t="str">
        <x:f>'Phase 5'!B17</x:f>
        <x:v>Phase 5</x:v>
      </x:c>
      <x:c r="C77" s="168" t="str">
        <x:f>'Phase 5'!C17</x:f>
        <x:v>Changes, Cancellations, Exchanges, and Refunds</x:v>
      </x:c>
      <x:c r="D77" s="147" t="str">
        <x:f>'Phase 5'!D17</x:f>
        <x:v>Prevent duplicate refunds and show cases that still need reconciliation.</x:v>
      </x:c>
      <x:c r="E77" s="147" t="str">
        <x:f>'Phase 5'!E17</x:f>
        <x:v>Post-ticketing changes and financial consequences are handled through a controlled, auditable process with client approval.</x:v>
      </x:c>
      <x:c r="F77" s="147" t="str">
        <x:f>'Phase 5'!F17</x:f>
        <x:v>Ticketing Agent; Finance User; Supervisor / Manager</x:v>
      </x:c>
      <x:c r="G77" s="147" t="str">
        <x:f>'Phase 5'!G17</x:f>
        <x:v>High</x:v>
      </x:c>
      <x:c r="H77" s="169" t="str">
        <x:f>'Phase 5'!H17</x:f>
        <x:v>To Be Confirmed</x:v>
      </x:c>
      <x:c r="I77" s="169" t="str">
        <x:f>'Phase 5'!I17</x:f>
        <x:v>Phase 5 — Changes, Cancellations, Exchanges, and Refunds</x:v>
      </x:c>
      <x:c r="J77" s="147" t="str">
        <x:f>'Phase 5'!J17</x:f>
        <x:v>Requires booking and ticket history, authorization controls, payment confirmation, and ticketing capabilities from earlier phases.</x:v>
      </x:c>
      <x:c r="K77" s="169" t="str">
        <x:f>'Phase 5'!K17</x:f>
        <x:v>Keep as proposed</x:v>
      </x:c>
      <x:c r="L77" s="170" t="str">
        <x:f>'Phase 5'!L17</x:f>
        <x:v>Pending project review</x:v>
      </x:c>
      <x:c r="M77" s="169" t="str">
        <x:f>IF('Phase 5'!M17="","",'Phase 5'!M17)</x:f>
      </x:c>
    </x:row>
    <x:row r="78" ht="56" customHeight="1">
      <x:c r="A78" s="168" t="str">
        <x:f>'Phase 6'!A7</x:f>
        <x:v>P6-01</x:v>
      </x:c>
      <x:c r="B78" s="168" t="str">
        <x:f>'Phase 6'!B7</x:f>
        <x:v>Phase 6</x:v>
      </x:c>
      <x:c r="C78" s="168" t="str">
        <x:f>'Phase 6'!C7</x:f>
        <x:v>Finance, Hotels, and Supporting Services</x:v>
      </x:c>
      <x:c r="D78" s="147" t="str">
        <x:f>'Phase 6'!D7</x:f>
        <x:v>Keep booking, invoice, payment, ticket, refund, and credit information connected.</x:v>
      </x:c>
      <x:c r="E78" s="147" t="str">
        <x:f>'Phase 6'!E7</x:f>
        <x:v>Operational, financial, hotel, insurance, and supporting-service information is connected and easier to reconcile.</x:v>
      </x:c>
      <x:c r="F78" s="147" t="str">
        <x:f>'Phase 6'!F7</x:f>
        <x:v>Finance User; Supervisor / Manager</x:v>
      </x:c>
      <x:c r="G78" s="147" t="str">
        <x:f>'Phase 6'!G7</x:f>
        <x:v>Medium</x:v>
      </x:c>
      <x:c r="H78" s="169" t="str">
        <x:f>'Phase 6'!H7</x:f>
        <x:v>To Be Confirmed</x:v>
      </x:c>
      <x:c r="I78" s="169" t="str">
        <x:f>'Phase 6'!I7</x:f>
        <x:v>Phase 6 — Finance, Hotels, and Supporting Services</x:v>
      </x:c>
      <x:c r="J78" s="147" t="str">
        <x:f>'Phase 6'!J7</x:f>
        <x:v>Requires confirmation of QuickBooks Online versus Desktop, supported integration options, hotel processes, and financial approval rules.</x:v>
      </x:c>
      <x:c r="K78" s="169" t="str">
        <x:f>'Phase 6'!K7</x:f>
        <x:v>Keep as proposed</x:v>
      </x:c>
      <x:c r="L78" s="170" t="str">
        <x:f>'Phase 6'!L7</x:f>
        <x:v>Pending project review</x:v>
      </x:c>
      <x:c r="M78" s="169" t="str">
        <x:f>IF('Phase 6'!M7="","",'Phase 6'!M7)</x:f>
      </x:c>
    </x:row>
    <x:row r="79" ht="56" customHeight="1">
      <x:c r="A79" s="168" t="str">
        <x:f>'Phase 6'!A8</x:f>
        <x:v>P6-02</x:v>
      </x:c>
      <x:c r="B79" s="168" t="str">
        <x:f>'Phase 6'!B8</x:f>
        <x:v>Phase 6</x:v>
      </x:c>
      <x:c r="C79" s="168" t="str">
        <x:f>'Phase 6'!C8</x:f>
        <x:v>Finance, Hotels, and Supporting Services</x:v>
      </x:c>
      <x:c r="D79" s="147" t="str">
        <x:f>'Phase 6'!D8</x:f>
        <x:v>See unpaid amounts, missing payment references, and operational records that do not match the accounting records.</x:v>
      </x:c>
      <x:c r="E79" s="147" t="str">
        <x:f>'Phase 6'!E8</x:f>
        <x:v>Operational, financial, hotel, insurance, and supporting-service information is connected and easier to reconcile.</x:v>
      </x:c>
      <x:c r="F79" s="147" t="str">
        <x:f>'Phase 6'!F8</x:f>
        <x:v>Finance User; Supervisor / Manager</x:v>
      </x:c>
      <x:c r="G79" s="147" t="str">
        <x:f>'Phase 6'!G8</x:f>
        <x:v>Medium</x:v>
      </x:c>
      <x:c r="H79" s="169" t="str">
        <x:f>'Phase 6'!H8</x:f>
        <x:v>To Be Confirmed</x:v>
      </x:c>
      <x:c r="I79" s="169" t="str">
        <x:f>'Phase 6'!I8</x:f>
        <x:v>Phase 6 — Finance, Hotels, and Supporting Services</x:v>
      </x:c>
      <x:c r="J79" s="147" t="str">
        <x:f>'Phase 6'!J8</x:f>
        <x:v>Requires confirmation of QuickBooks Online versus Desktop, supported integration options, hotel processes, and financial approval rules.</x:v>
      </x:c>
      <x:c r="K79" s="169" t="str">
        <x:f>'Phase 6'!K8</x:f>
        <x:v>Keep as proposed</x:v>
      </x:c>
      <x:c r="L79" s="170" t="str">
        <x:f>'Phase 6'!L8</x:f>
        <x:v>Pending project review</x:v>
      </x:c>
      <x:c r="M79" s="169" t="str">
        <x:f>IF('Phase 6'!M8="","",'Phase 6'!M8)</x:f>
      </x:c>
    </x:row>
    <x:row r="80" ht="56" customHeight="1">
      <x:c r="A80" s="168" t="str">
        <x:f>'Phase 6'!A9</x:f>
        <x:v>P6-03</x:v>
      </x:c>
      <x:c r="B80" s="168" t="str">
        <x:f>'Phase 6'!B9</x:f>
        <x:v>Phase 6</x:v>
      </x:c>
      <x:c r="C80" s="168" t="str">
        <x:f>'Phase 6'!C9</x:f>
        <x:v>Finance, Hotels, and Supporting Services</x:v>
      </x:c>
      <x:c r="D80" s="147" t="str">
        <x:f>'Phase 6'!D9</x:f>
        <x:v>Confirm whether YB Travel uses QuickBooks Online or QuickBooks Desktop and validate the available integration method.</x:v>
      </x:c>
      <x:c r="E80" s="147" t="str">
        <x:f>'Phase 6'!E9</x:f>
        <x:v>Operational, financial, hotel, insurance, and supporting-service information is connected and easier to reconcile.</x:v>
      </x:c>
      <x:c r="F80" s="147" t="str">
        <x:f>'Phase 6'!F9</x:f>
        <x:v>Finance User; Supervisor / Manager</x:v>
      </x:c>
      <x:c r="G80" s="147" t="str">
        <x:f>'Phase 6'!G9</x:f>
        <x:v>Medium</x:v>
      </x:c>
      <x:c r="H80" s="169" t="str">
        <x:f>'Phase 6'!H9</x:f>
        <x:v>To Be Confirmed</x:v>
      </x:c>
      <x:c r="I80" s="169" t="str">
        <x:f>'Phase 6'!I9</x:f>
        <x:v>Phase 6 — Finance, Hotels, and Supporting Services</x:v>
      </x:c>
      <x:c r="J80" s="147" t="str">
        <x:f>'Phase 6'!J9</x:f>
        <x:v>Requires confirmation of QuickBooks Online versus Desktop, supported integration options, hotel processes, and financial approval rules.</x:v>
      </x:c>
      <x:c r="K80" s="169" t="str">
        <x:f>'Phase 6'!K9</x:f>
        <x:v>Keep as proposed</x:v>
      </x:c>
      <x:c r="L80" s="170" t="str">
        <x:f>'Phase 6'!L9</x:f>
        <x:v>Pending project review</x:v>
      </x:c>
      <x:c r="M80" s="169" t="str">
        <x:f>IF('Phase 6'!M9="","",'Phase 6'!M9)</x:f>
      </x:c>
    </x:row>
    <x:row r="81" ht="56" customHeight="1">
      <x:c r="A81" s="168" t="str">
        <x:f>'Phase 6'!A10</x:f>
        <x:v>P6-04</x:v>
      </x:c>
      <x:c r="B81" s="168" t="str">
        <x:f>'Phase 6'!B10</x:f>
        <x:v>Phase 6</x:v>
      </x:c>
      <x:c r="C81" s="168" t="str">
        <x:f>'Phase 6'!C10</x:f>
        <x:v>Finance, Hotels, and Supporting Services</x:v>
      </x:c>
      <x:c r="D81" s="147" t="str">
        <x:f>'Phase 6'!D10</x:f>
        <x:v>Create or update approved QuickBooks transactions through a controlled review process after the integration method is confirmed.</x:v>
      </x:c>
      <x:c r="E81" s="147" t="str">
        <x:f>'Phase 6'!E10</x:f>
        <x:v>Operational, financial, hotel, insurance, and supporting-service information is connected and easier to reconcile.</x:v>
      </x:c>
      <x:c r="F81" s="147" t="str">
        <x:f>'Phase 6'!F10</x:f>
        <x:v>Finance User; Supervisor / Manager</x:v>
      </x:c>
      <x:c r="G81" s="147" t="str">
        <x:f>'Phase 6'!G10</x:f>
        <x:v>Medium</x:v>
      </x:c>
      <x:c r="H81" s="169" t="str">
        <x:f>'Phase 6'!H10</x:f>
        <x:v>To Be Confirmed</x:v>
      </x:c>
      <x:c r="I81" s="169" t="str">
        <x:f>'Phase 6'!I10</x:f>
        <x:v>Phase 6 — Finance, Hotels, and Supporting Services</x:v>
      </x:c>
      <x:c r="J81" s="147" t="str">
        <x:f>'Phase 6'!J10</x:f>
        <x:v>Requires confirmation of QuickBooks Online versus Desktop, supported integration options, hotel processes, and financial approval rules.</x:v>
      </x:c>
      <x:c r="K81" s="169" t="str">
        <x:f>'Phase 6'!K10</x:f>
        <x:v>Keep as proposed</x:v>
      </x:c>
      <x:c r="L81" s="170" t="str">
        <x:f>'Phase 6'!L10</x:f>
        <x:v>Pending project review</x:v>
      </x:c>
      <x:c r="M81" s="169" t="str">
        <x:f>IF('Phase 6'!M10="","",'Phase 6'!M10)</x:f>
      </x:c>
    </x:row>
    <x:row r="82" ht="56" customHeight="1">
      <x:c r="A82" s="168" t="str">
        <x:f>'Phase 6'!A11</x:f>
        <x:v>P6-05</x:v>
      </x:c>
      <x:c r="B82" s="168" t="str">
        <x:f>'Phase 6'!B11</x:f>
        <x:v>Phase 6</x:v>
      </x:c>
      <x:c r="C82" s="168" t="str">
        <x:f>'Phase 6'!C11</x:f>
        <x:v>Finance, Hotels, and Supporting Services</x:v>
      </x:c>
      <x:c r="D82" s="147" t="str">
        <x:f>'Phase 6'!D11</x:f>
        <x:v>Track UATP value, usage, and remaining balances when it applies to a booking.</x:v>
      </x:c>
      <x:c r="E82" s="147" t="str">
        <x:f>'Phase 6'!E11</x:f>
        <x:v>Operational, financial, hotel, insurance, and supporting-service information is connected and easier to reconcile.</x:v>
      </x:c>
      <x:c r="F82" s="147" t="str">
        <x:f>'Phase 6'!F11</x:f>
        <x:v>Finance User; Supervisor / Manager</x:v>
      </x:c>
      <x:c r="G82" s="147" t="str">
        <x:f>'Phase 6'!G11</x:f>
        <x:v>Medium</x:v>
      </x:c>
      <x:c r="H82" s="169" t="str">
        <x:f>'Phase 6'!H11</x:f>
        <x:v>To Be Confirmed</x:v>
      </x:c>
      <x:c r="I82" s="169" t="str">
        <x:f>'Phase 6'!I11</x:f>
        <x:v>Phase 6 — Finance, Hotels, and Supporting Services</x:v>
      </x:c>
      <x:c r="J82" s="147" t="str">
        <x:f>'Phase 6'!J11</x:f>
        <x:v>Requires confirmation of QuickBooks Online versus Desktop, supported integration options, hotel processes, and financial approval rules.</x:v>
      </x:c>
      <x:c r="K82" s="169" t="str">
        <x:f>'Phase 6'!K11</x:f>
        <x:v>Keep as proposed</x:v>
      </x:c>
      <x:c r="L82" s="170" t="str">
        <x:f>'Phase 6'!L11</x:f>
        <x:v>Pending project review</x:v>
      </x:c>
      <x:c r="M82" s="169" t="str">
        <x:f>IF('Phase 6'!M11="","",'Phase 6'!M11)</x:f>
      </x:c>
    </x:row>
    <x:row r="83" ht="56" customHeight="1">
      <x:c r="A83" s="168" t="str">
        <x:f>'Phase 6'!A12</x:f>
        <x:v>P6-06</x:v>
      </x:c>
      <x:c r="B83" s="168" t="str">
        <x:f>'Phase 6'!B12</x:f>
        <x:v>Phase 6</x:v>
      </x:c>
      <x:c r="C83" s="168" t="str">
        <x:f>'Phase 6'!C12</x:f>
        <x:v>Finance, Hotels, and Supporting Services</x:v>
      </x:c>
      <x:c r="D83" s="147" t="str">
        <x:f>'Phase 6'!D12</x:f>
        <x:v>Create a hotel request with destination, dates, guests, room needs, budget, and preferences.</x:v>
      </x:c>
      <x:c r="E83" s="147" t="str">
        <x:f>'Phase 6'!E12</x:f>
        <x:v>Operational, financial, hotel, insurance, and supporting-service information is connected and easier to reconcile.</x:v>
      </x:c>
      <x:c r="F83" s="147" t="str">
        <x:f>'Phase 6'!F12</x:f>
        <x:v>Travel Agent; Finance User</x:v>
      </x:c>
      <x:c r="G83" s="147" t="str">
        <x:f>'Phase 6'!G12</x:f>
        <x:v>Medium</x:v>
      </x:c>
      <x:c r="H83" s="169" t="str">
        <x:f>'Phase 6'!H12</x:f>
        <x:v>To Be Confirmed</x:v>
      </x:c>
      <x:c r="I83" s="169" t="str">
        <x:f>'Phase 6'!I12</x:f>
        <x:v>Phase 6 — Finance, Hotels, and Supporting Services</x:v>
      </x:c>
      <x:c r="J83" s="147" t="str">
        <x:f>'Phase 6'!J12</x:f>
        <x:v>Requires confirmation of QuickBooks Online versus Desktop, supported integration options, hotel processes, and financial approval rules.</x:v>
      </x:c>
      <x:c r="K83" s="169" t="str">
        <x:f>'Phase 6'!K12</x:f>
        <x:v>Keep as proposed</x:v>
      </x:c>
      <x:c r="L83" s="170" t="str">
        <x:f>'Phase 6'!L12</x:f>
        <x:v>Pending project review</x:v>
      </x:c>
      <x:c r="M83" s="169" t="str">
        <x:f>IF('Phase 6'!M12="","",'Phase 6'!M12)</x:f>
      </x:c>
    </x:row>
    <x:row r="84" ht="56" customHeight="1">
      <x:c r="A84" s="168" t="str">
        <x:f>'Phase 6'!A13</x:f>
        <x:v>P6-07</x:v>
      </x:c>
      <x:c r="B84" s="168" t="str">
        <x:f>'Phase 6'!B13</x:f>
        <x:v>Phase 6</x:v>
      </x:c>
      <x:c r="C84" s="168" t="str">
        <x:f>'Phase 6'!C13</x:f>
        <x:v>Finance, Hotels, and Supporting Services</x:v>
      </x:c>
      <x:c r="D84" s="147" t="str">
        <x:f>'Phase 6'!D13</x:f>
        <x:v>Record hotel options, cancellation rules, supplier details, confirmation numbers, payment status, and commission.</x:v>
      </x:c>
      <x:c r="E84" s="147" t="str">
        <x:f>'Phase 6'!E13</x:f>
        <x:v>Operational, financial, hotel, insurance, and supporting-service information is connected and easier to reconcile.</x:v>
      </x:c>
      <x:c r="F84" s="147" t="str">
        <x:f>'Phase 6'!F13</x:f>
        <x:v>Travel Agent; Finance User</x:v>
      </x:c>
      <x:c r="G84" s="147" t="str">
        <x:f>'Phase 6'!G13</x:f>
        <x:v>Medium</x:v>
      </x:c>
      <x:c r="H84" s="169" t="str">
        <x:f>'Phase 6'!H13</x:f>
        <x:v>To Be Confirmed</x:v>
      </x:c>
      <x:c r="I84" s="169" t="str">
        <x:f>'Phase 6'!I13</x:f>
        <x:v>Phase 6 — Finance, Hotels, and Supporting Services</x:v>
      </x:c>
      <x:c r="J84" s="147" t="str">
        <x:f>'Phase 6'!J13</x:f>
        <x:v>Requires confirmation of QuickBooks Online versus Desktop, supported integration options, hotel processes, and financial approval rules.</x:v>
      </x:c>
      <x:c r="K84" s="169" t="str">
        <x:f>'Phase 6'!K13</x:f>
        <x:v>Keep as proposed</x:v>
      </x:c>
      <x:c r="L84" s="170" t="str">
        <x:f>'Phase 6'!L13</x:f>
        <x:v>Pending project review</x:v>
      </x:c>
      <x:c r="M84" s="169" t="str">
        <x:f>IF('Phase 6'!M13="","",'Phase 6'!M13)</x:f>
      </x:c>
    </x:row>
    <x:row r="85" ht="56" customHeight="1">
      <x:c r="A85" s="168" t="str">
        <x:f>'Phase 6'!A14</x:f>
        <x:v>P6-08</x:v>
      </x:c>
      <x:c r="B85" s="168" t="str">
        <x:f>'Phase 6'!B14</x:f>
        <x:v>Phase 6</x:v>
      </x:c>
      <x:c r="C85" s="168" t="str">
        <x:f>'Phase 6'!C14</x:f>
        <x:v>Finance, Hotels, and Supporting Services</x:v>
      </x:c>
      <x:c r="D85" s="147" t="str">
        <x:f>'Phase 6'!D14</x:f>
        <x:v>Connect flights and hotels to the same client trip.</x:v>
      </x:c>
      <x:c r="E85" s="147" t="str">
        <x:f>'Phase 6'!E14</x:f>
        <x:v>Operational, financial, hotel, insurance, and supporting-service information is connected and easier to reconcile.</x:v>
      </x:c>
      <x:c r="F85" s="147" t="str">
        <x:f>'Phase 6'!F14</x:f>
        <x:v>Travel Agent; Finance User</x:v>
      </x:c>
      <x:c r="G85" s="147" t="str">
        <x:f>'Phase 6'!G14</x:f>
        <x:v>Medium</x:v>
      </x:c>
      <x:c r="H85" s="169" t="str">
        <x:f>'Phase 6'!H14</x:f>
        <x:v>To Be Confirmed</x:v>
      </x:c>
      <x:c r="I85" s="169" t="str">
        <x:f>'Phase 6'!I14</x:f>
        <x:v>Phase 6 — Finance, Hotels, and Supporting Services</x:v>
      </x:c>
      <x:c r="J85" s="147" t="str">
        <x:f>'Phase 6'!J14</x:f>
        <x:v>Requires confirmation of QuickBooks Online versus Desktop, supported integration options, hotel processes, and financial approval rules.</x:v>
      </x:c>
      <x:c r="K85" s="169" t="str">
        <x:f>'Phase 6'!K14</x:f>
        <x:v>Keep as proposed</x:v>
      </x:c>
      <x:c r="L85" s="170" t="str">
        <x:f>'Phase 6'!L14</x:f>
        <x:v>Pending project review</x:v>
      </x:c>
      <x:c r="M85" s="169" t="str">
        <x:f>IF('Phase 6'!M14="","",'Phase 6'!M14)</x:f>
      </x:c>
    </x:row>
    <x:row r="86" ht="56" customHeight="1">
      <x:c r="A86" s="168" t="str">
        <x:f>'Phase 6'!A15</x:f>
        <x:v>P6-09</x:v>
      </x:c>
      <x:c r="B86" s="168" t="str">
        <x:f>'Phase 6'!B15</x:f>
        <x:v>Phase 6</x:v>
      </x:c>
      <x:c r="C86" s="168" t="str">
        <x:f>'Phase 6'!C15</x:f>
        <x:v>Finance, Hotels, and Supporting Services</x:v>
      </x:c>
      <x:c r="D86" s="147" t="str">
        <x:f>'Phase 6'!D15</x:f>
        <x:v>Keep hotel, insurance, and financial details together with the client’s trip.</x:v>
      </x:c>
      <x:c r="E86" s="147" t="str">
        <x:f>'Phase 6'!E15</x:f>
        <x:v>Operational, financial, hotel, insurance, and supporting-service information is connected and easier to reconcile.</x:v>
      </x:c>
      <x:c r="F86" s="147" t="str">
        <x:f>'Phase 6'!F15</x:f>
        <x:v>Travel Agent; Finance User</x:v>
      </x:c>
      <x:c r="G86" s="147" t="str">
        <x:f>'Phase 6'!G15</x:f>
        <x:v>Medium</x:v>
      </x:c>
      <x:c r="H86" s="169" t="str">
        <x:f>'Phase 6'!H15</x:f>
        <x:v>To Be Confirmed</x:v>
      </x:c>
      <x:c r="I86" s="169" t="str">
        <x:f>'Phase 6'!I15</x:f>
        <x:v>Phase 6 — Finance, Hotels, and Supporting Services</x:v>
      </x:c>
      <x:c r="J86" s="147" t="str">
        <x:f>'Phase 6'!J15</x:f>
        <x:v>Requires confirmation of QuickBooks Online versus Desktop, supported integration options, hotel processes, and financial approval rules.</x:v>
      </x:c>
      <x:c r="K86" s="169" t="str">
        <x:f>'Phase 6'!K15</x:f>
        <x:v>Keep as proposed</x:v>
      </x:c>
      <x:c r="L86" s="170" t="str">
        <x:f>'Phase 6'!L15</x:f>
        <x:v>Pending project review</x:v>
      </x:c>
      <x:c r="M86" s="169" t="str">
        <x:f>IF('Phase 6'!M15="","",'Phase 6'!M15)</x:f>
      </x:c>
    </x:row>
    <x:row r="87" ht="56" customHeight="1">
      <x:c r="A87" s="168" t="str">
        <x:f>'Phase 6'!A16</x:f>
        <x:v>P6-10</x:v>
      </x:c>
      <x:c r="B87" s="168" t="str">
        <x:f>'Phase 6'!B16</x:f>
        <x:v>Phase 6</x:v>
      </x:c>
      <x:c r="C87" s="168" t="str">
        <x:f>'Phase 6'!C16</x:f>
        <x:v>Finance, Hotels, and Supporting Services</x:v>
      </x:c>
      <x:c r="D87" s="147" t="str">
        <x:f>'Phase 6'!D16</x:f>
        <x:v>Record whether travel-insurance information was presented, selected, declined, or left pending.</x:v>
      </x:c>
      <x:c r="E87" s="147" t="str">
        <x:f>'Phase 6'!E16</x:f>
        <x:v>Operational, financial, hotel, insurance, and supporting-service information is connected and easier to reconcile.</x:v>
      </x:c>
      <x:c r="F87" s="147" t="str">
        <x:f>'Phase 6'!F16</x:f>
        <x:v>Travel Agent; Finance User</x:v>
      </x:c>
      <x:c r="G87" s="147" t="str">
        <x:f>'Phase 6'!G16</x:f>
        <x:v>Medium</x:v>
      </x:c>
      <x:c r="H87" s="169" t="str">
        <x:f>'Phase 6'!H16</x:f>
        <x:v>To Be Confirmed</x:v>
      </x:c>
      <x:c r="I87" s="169" t="str">
        <x:f>'Phase 6'!I16</x:f>
        <x:v>Phase 6 — Finance, Hotels, and Supporting Services</x:v>
      </x:c>
      <x:c r="J87" s="147" t="str">
        <x:f>'Phase 6'!J16</x:f>
        <x:v>Requires confirmation of QuickBooks Online versus Desktop, supported integration options, hotel processes, and financial approval rules.</x:v>
      </x:c>
      <x:c r="K87" s="169" t="str">
        <x:f>'Phase 6'!K16</x:f>
        <x:v>Keep as proposed</x:v>
      </x:c>
      <x:c r="L87" s="170" t="str">
        <x:f>'Phase 6'!L16</x:f>
        <x:v>Pending project review</x:v>
      </x:c>
      <x:c r="M87" s="169" t="str">
        <x:f>IF('Phase 6'!M16="","",'Phase 6'!M16)</x:f>
      </x:c>
    </x:row>
    <x:row r="88" ht="56" customHeight="1">
      <x:c r="A88" s="168" t="str">
        <x:f>'Phase 6'!A17</x:f>
        <x:v>P6-11</x:v>
      </x:c>
      <x:c r="B88" s="168" t="str">
        <x:f>'Phase 6'!B17</x:f>
        <x:v>Phase 6</x:v>
      </x:c>
      <x:c r="C88" s="168" t="str">
        <x:f>'Phase 6'!C17</x:f>
        <x:v>Finance, Hotels, and Supporting Services</x:v>
      </x:c>
      <x:c r="D88" s="147" t="str">
        <x:f>'Phase 6'!D17</x:f>
        <x:v>See the operational and financial status of a trip without searching through several separate systems.</x:v>
      </x:c>
      <x:c r="E88" s="147" t="str">
        <x:f>'Phase 6'!E17</x:f>
        <x:v>Operational, financial, hotel, insurance, and supporting-service information is connected and easier to reconcile.</x:v>
      </x:c>
      <x:c r="F88" s="147" t="str">
        <x:f>'Phase 6'!F17</x:f>
        <x:v>Finance User; Supervisor / Manager</x:v>
      </x:c>
      <x:c r="G88" s="147" t="str">
        <x:f>'Phase 6'!G17</x:f>
        <x:v>Medium</x:v>
      </x:c>
      <x:c r="H88" s="169" t="str">
        <x:f>'Phase 6'!H17</x:f>
        <x:v>To Be Confirmed</x:v>
      </x:c>
      <x:c r="I88" s="169" t="str">
        <x:f>'Phase 6'!I17</x:f>
        <x:v>Phase 6 — Finance, Hotels, and Supporting Services</x:v>
      </x:c>
      <x:c r="J88" s="147" t="str">
        <x:f>'Phase 6'!J17</x:f>
        <x:v>Requires confirmation of QuickBooks Online versus Desktop, supported integration options, hotel processes, and financial approval rules.</x:v>
      </x:c>
      <x:c r="K88" s="169" t="str">
        <x:f>'Phase 6'!K17</x:f>
        <x:v>Keep as proposed</x:v>
      </x:c>
      <x:c r="L88" s="170" t="str">
        <x:f>'Phase 6'!L17</x:f>
        <x:v>Pending project review</x:v>
      </x:c>
      <x:c r="M88" s="169" t="str">
        <x:f>IF('Phase 6'!M17="","",'Phase 6'!M17)</x:f>
      </x:c>
    </x:row>
    <x:row r="89" ht="56" customHeight="1">
      <x:c r="A89" s="168" t="str">
        <x:f>'Phase 7'!A7</x:f>
        <x:v>P7-01</x:v>
      </x:c>
      <x:c r="B89" s="168" t="str">
        <x:f>'Phase 7'!B7</x:f>
        <x:v>Phase 7</x:v>
      </x:c>
      <x:c r="C89" s="168" t="str">
        <x:f>'Phase 7'!C7</x:f>
        <x:v>Fare Optimization and Assisted Recommendations</x:v>
      </x:c>
      <x:c r="D89" s="147" t="str">
        <x:f>'Phase 7'!D7</x:f>
        <x:v>Identify eligible EL AL premium or business bookings that may benefit from lower-fare monitoring.</x:v>
      </x:c>
      <x:c r="E89" s="147" t="str">
        <x:f>'Phase 7'!E7</x:f>
        <x:v>Staff receive explainable recommendations for eligible savings and commercial choices while retaining human approval.</x:v>
      </x:c>
      <x:c r="F89" s="147" t="str">
        <x:f>'Phase 7'!F7</x:f>
        <x:v>Travel Agent; Ticketing Agent; Supervisor / Manager</x:v>
      </x:c>
      <x:c r="G89" s="147" t="str">
        <x:f>'Phase 7'!G7</x:f>
        <x:v>Medium</x:v>
      </x:c>
      <x:c r="H89" s="169" t="str">
        <x:f>'Phase 7'!H7</x:f>
        <x:v>To Be Confirmed</x:v>
      </x:c>
      <x:c r="I89" s="169" t="str">
        <x:f>'Phase 7'!I7</x:f>
        <x:v>Phase 7 — Fare Optimization and Assisted Recommendations</x:v>
      </x:c>
      <x:c r="J89" s="147" t="str">
        <x:f>'Phase 7'!J7</x:f>
        <x:v>Requires Sabre and ticket data, account rules, fare rules, and approval controls established in earlier phases.</x:v>
      </x:c>
      <x:c r="K89" s="169" t="str">
        <x:f>'Phase 7'!K7</x:f>
        <x:v>Keep as proposed</x:v>
      </x:c>
      <x:c r="L89" s="170" t="str">
        <x:f>'Phase 7'!L7</x:f>
        <x:v>Pending project review</x:v>
      </x:c>
      <x:c r="M89" s="169" t="str">
        <x:f>IF('Phase 7'!M7="","",'Phase 7'!M7)</x:f>
      </x:c>
    </x:row>
    <x:row r="90" ht="56" customHeight="1">
      <x:c r="A90" s="168" t="str">
        <x:f>'Phase 7'!A8</x:f>
        <x:v>P7-02</x:v>
      </x:c>
      <x:c r="B90" s="168" t="str">
        <x:f>'Phase 7'!B8</x:f>
        <x:v>Phase 7</x:v>
      </x:c>
      <x:c r="C90" s="168" t="str">
        <x:f>'Phase 7'!C8</x:f>
        <x:v>Fare Optimization and Assisted Recommendations</x:v>
      </x:c>
      <x:c r="D90" s="147" t="str">
        <x:f>'Phase 7'!D8</x:f>
        <x:v>Keep the client’s original confirmed booking protected while a separate lower-fare waitlist is monitored.</x:v>
      </x:c>
      <x:c r="E90" s="147" t="str">
        <x:f>'Phase 7'!E8</x:f>
        <x:v>Staff receive explainable recommendations for eligible savings and commercial choices while retaining human approval.</x:v>
      </x:c>
      <x:c r="F90" s="147" t="str">
        <x:f>'Phase 7'!F8</x:f>
        <x:v>Travel Agent; Ticketing Agent; Supervisor / Manager</x:v>
      </x:c>
      <x:c r="G90" s="147" t="str">
        <x:f>'Phase 7'!G8</x:f>
        <x:v>Medium</x:v>
      </x:c>
      <x:c r="H90" s="169" t="str">
        <x:f>'Phase 7'!H8</x:f>
        <x:v>To Be Confirmed</x:v>
      </x:c>
      <x:c r="I90" s="169" t="str">
        <x:f>'Phase 7'!I8</x:f>
        <x:v>Phase 7 — Fare Optimization and Assisted Recommendations</x:v>
      </x:c>
      <x:c r="J90" s="147" t="str">
        <x:f>'Phase 7'!J8</x:f>
        <x:v>Requires Sabre and ticket data, account rules, fare rules, and approval controls established in earlier phases.</x:v>
      </x:c>
      <x:c r="K90" s="169" t="str">
        <x:f>'Phase 7'!K8</x:f>
        <x:v>Keep as proposed</x:v>
      </x:c>
      <x:c r="L90" s="170" t="str">
        <x:f>'Phase 7'!L8</x:f>
        <x:v>Pending project review</x:v>
      </x:c>
      <x:c r="M90" s="169" t="str">
        <x:f>IF('Phase 7'!M8="","",'Phase 7'!M8)</x:f>
      </x:c>
    </x:row>
    <x:row r="91" ht="56" customHeight="1">
      <x:c r="A91" s="168" t="str">
        <x:f>'Phase 7'!A9</x:f>
        <x:v>P7-03</x:v>
      </x:c>
      <x:c r="B91" s="168" t="str">
        <x:f>'Phase 7'!B9</x:f>
        <x:v>Phase 7</x:v>
      </x:c>
      <x:c r="C91" s="168" t="str">
        <x:f>'Phase 7'!C9</x:f>
        <x:v>Fare Optimization and Assisted Recommendations</x:v>
      </x:c>
      <x:c r="D91" s="147" t="str">
        <x:f>'Phase 7'!D9</x:f>
        <x:v>Create and link a separate waitlist PNR without confusing it with the confirmed booking.</x:v>
      </x:c>
      <x:c r="E91" s="147" t="str">
        <x:f>'Phase 7'!E9</x:f>
        <x:v>Staff receive explainable recommendations for eligible savings and commercial choices while retaining human approval.</x:v>
      </x:c>
      <x:c r="F91" s="147" t="str">
        <x:f>'Phase 7'!F9</x:f>
        <x:v>Travel Agent; Ticketing Agent; Supervisor / Manager</x:v>
      </x:c>
      <x:c r="G91" s="147" t="str">
        <x:f>'Phase 7'!G9</x:f>
        <x:v>Medium</x:v>
      </x:c>
      <x:c r="H91" s="169" t="str">
        <x:f>'Phase 7'!H9</x:f>
        <x:v>To Be Confirmed</x:v>
      </x:c>
      <x:c r="I91" s="169" t="str">
        <x:f>'Phase 7'!I9</x:f>
        <x:v>Phase 7 — Fare Optimization and Assisted Recommendations</x:v>
      </x:c>
      <x:c r="J91" s="147" t="str">
        <x:f>'Phase 7'!J9</x:f>
        <x:v>Requires Sabre and ticket data, account rules, fare rules, and approval controls established in earlier phases.</x:v>
      </x:c>
      <x:c r="K91" s="169" t="str">
        <x:f>'Phase 7'!K9</x:f>
        <x:v>Keep as proposed</x:v>
      </x:c>
      <x:c r="L91" s="170" t="str">
        <x:f>'Phase 7'!L9</x:f>
        <x:v>Pending project review</x:v>
      </x:c>
      <x:c r="M91" s="169" t="str">
        <x:f>IF('Phase 7'!M9="","",'Phase 7'!M9)</x:f>
      </x:c>
    </x:row>
    <x:row r="92" ht="56" customHeight="1">
      <x:c r="A92" s="168" t="str">
        <x:f>'Phase 7'!A10</x:f>
        <x:v>P7-04</x:v>
      </x:c>
      <x:c r="B92" s="168" t="str">
        <x:f>'Phase 7'!B10</x:f>
        <x:v>Phase 7</x:v>
      </x:c>
      <x:c r="C92" s="168" t="str">
        <x:f>'Phase 7'!C10</x:f>
        <x:v>Fare Optimization and Assisted Recommendations</x:v>
      </x:c>
      <x:c r="D92" s="147" t="str">
        <x:f>'Phase 7'!D10</x:f>
        <x:v>Receive an alert when a lower booking class clears or another savings opportunity appears.</x:v>
      </x:c>
      <x:c r="E92" s="147" t="str">
        <x:f>'Phase 7'!E10</x:f>
        <x:v>Staff receive explainable recommendations for eligible savings and commercial choices while retaining human approval.</x:v>
      </x:c>
      <x:c r="F92" s="147" t="str">
        <x:f>'Phase 7'!F10</x:f>
        <x:v>Travel Agent; Ticketing Agent; Supervisor / Manager</x:v>
      </x:c>
      <x:c r="G92" s="147" t="str">
        <x:f>'Phase 7'!G10</x:f>
        <x:v>Medium</x:v>
      </x:c>
      <x:c r="H92" s="169" t="str">
        <x:f>'Phase 7'!H10</x:f>
        <x:v>To Be Confirmed</x:v>
      </x:c>
      <x:c r="I92" s="169" t="str">
        <x:f>'Phase 7'!I10</x:f>
        <x:v>Phase 7 — Fare Optimization and Assisted Recommendations</x:v>
      </x:c>
      <x:c r="J92" s="147" t="str">
        <x:f>'Phase 7'!J10</x:f>
        <x:v>Requires Sabre and ticket data, account rules, fare rules, and approval controls established in earlier phases.</x:v>
      </x:c>
      <x:c r="K92" s="169" t="str">
        <x:f>'Phase 7'!K10</x:f>
        <x:v>Keep as proposed</x:v>
      </x:c>
      <x:c r="L92" s="170" t="str">
        <x:f>'Phase 7'!L10</x:f>
        <x:v>Pending project review</x:v>
      </x:c>
      <x:c r="M92" s="169" t="str">
        <x:f>IF('Phase 7'!M10="","",'Phase 7'!M10)</x:f>
      </x:c>
    </x:row>
    <x:row r="93" ht="56" customHeight="1">
      <x:c r="A93" s="168" t="str">
        <x:f>'Phase 7'!A11</x:f>
        <x:v>P7-05</x:v>
      </x:c>
      <x:c r="B93" s="168" t="str">
        <x:f>'Phase 7'!B11</x:f>
        <x:v>Phase 7</x:v>
      </x:c>
      <x:c r="C93" s="168" t="str">
        <x:f>'Phase 7'!C11</x:f>
        <x:v>Fare Optimization and Assisted Recommendations</x:v>
      </x:c>
      <x:c r="D93" s="147" t="str">
        <x:f>'Phase 7'!D11</x:f>
        <x:v>Compare the potential savings, fare rules, refund impact, and operational risk before making a change.</x:v>
      </x:c>
      <x:c r="E93" s="147" t="str">
        <x:f>'Phase 7'!E11</x:f>
        <x:v>Staff receive explainable recommendations for eligible savings and commercial choices while retaining human approval.</x:v>
      </x:c>
      <x:c r="F93" s="147" t="str">
        <x:f>'Phase 7'!F11</x:f>
        <x:v>Travel Agent; Ticketing Agent; Supervisor / Manager</x:v>
      </x:c>
      <x:c r="G93" s="147" t="str">
        <x:f>'Phase 7'!G11</x:f>
        <x:v>Medium</x:v>
      </x:c>
      <x:c r="H93" s="169" t="str">
        <x:f>'Phase 7'!H11</x:f>
        <x:v>To Be Confirmed</x:v>
      </x:c>
      <x:c r="I93" s="169" t="str">
        <x:f>'Phase 7'!I11</x:f>
        <x:v>Phase 7 — Fare Optimization and Assisted Recommendations</x:v>
      </x:c>
      <x:c r="J93" s="147" t="str">
        <x:f>'Phase 7'!J11</x:f>
        <x:v>Requires Sabre and ticket data, account rules, fare rules, and approval controls established in earlier phases.</x:v>
      </x:c>
      <x:c r="K93" s="169" t="str">
        <x:f>'Phase 7'!K11</x:f>
        <x:v>Keep as proposed</x:v>
      </x:c>
      <x:c r="L93" s="170" t="str">
        <x:f>'Phase 7'!L11</x:f>
        <x:v>Pending project review</x:v>
      </x:c>
      <x:c r="M93" s="169" t="str">
        <x:f>IF('Phase 7'!M11="","",'Phase 7'!M11)</x:f>
      </x:c>
    </x:row>
    <x:row r="94" ht="56" customHeight="1">
      <x:c r="A94" s="168" t="str">
        <x:f>'Phase 7'!A12</x:f>
        <x:v>P7-06</x:v>
      </x:c>
      <x:c r="B94" s="168" t="str">
        <x:f>'Phase 7'!B12</x:f>
        <x:v>Phase 7</x:v>
      </x:c>
      <x:c r="C94" s="168" t="str">
        <x:f>'Phase 7'!C12</x:f>
        <x:v>Fare Optimization and Assisted Recommendations</x:v>
      </x:c>
      <x:c r="D94" s="147" t="str">
        <x:f>'Phase 7'!D12</x:f>
        <x:v>Receive a recommendation showing which Sabre account, fare, or itinerary may provide the best balance of client price and agency value.</x:v>
      </x:c>
      <x:c r="E94" s="147" t="str">
        <x:f>'Phase 7'!E12</x:f>
        <x:v>Staff receive explainable recommendations for eligible savings and commercial choices while retaining human approval.</x:v>
      </x:c>
      <x:c r="F94" s="147" t="str">
        <x:f>'Phase 7'!F12</x:f>
        <x:v>Travel Agent; Ticketing Agent; Supervisor / Manager</x:v>
      </x:c>
      <x:c r="G94" s="147" t="str">
        <x:f>'Phase 7'!G12</x:f>
        <x:v>Medium</x:v>
      </x:c>
      <x:c r="H94" s="169" t="str">
        <x:f>'Phase 7'!H12</x:f>
        <x:v>To Be Confirmed</x:v>
      </x:c>
      <x:c r="I94" s="169" t="str">
        <x:f>'Phase 7'!I12</x:f>
        <x:v>Phase 7 — Fare Optimization and Assisted Recommendations</x:v>
      </x:c>
      <x:c r="J94" s="147" t="str">
        <x:f>'Phase 7'!J12</x:f>
        <x:v>Requires Sabre and ticket data, account rules, fare rules, and approval controls established in earlier phases.</x:v>
      </x:c>
      <x:c r="K94" s="169" t="str">
        <x:f>'Phase 7'!K12</x:f>
        <x:v>Keep as proposed</x:v>
      </x:c>
      <x:c r="L94" s="170" t="str">
        <x:f>'Phase 7'!L12</x:f>
        <x:v>Pending project review</x:v>
      </x:c>
      <x:c r="M94" s="169" t="str">
        <x:f>IF('Phase 7'!M12="","",'Phase 7'!M12)</x:f>
      </x:c>
    </x:row>
    <x:row r="95" ht="56" customHeight="1">
      <x:c r="A95" s="168" t="str">
        <x:f>'Phase 7'!A13</x:f>
        <x:v>P7-07</x:v>
      </x:c>
      <x:c r="B95" s="168" t="str">
        <x:f>'Phase 7'!B13</x:f>
        <x:v>Phase 7</x:v>
      </x:c>
      <x:c r="C95" s="168" t="str">
        <x:f>'Phase 7'!C13</x:f>
        <x:v>Fare Optimization and Assisted Recommendations</x:v>
      </x:c>
      <x:c r="D95" s="147" t="str">
        <x:f>'Phase 7'!D13</x:f>
        <x:v>See a simple explanation of why the system recommends an option.</x:v>
      </x:c>
      <x:c r="E95" s="147" t="str">
        <x:f>'Phase 7'!E13</x:f>
        <x:v>Staff receive explainable recommendations for eligible savings and commercial choices while retaining human approval.</x:v>
      </x:c>
      <x:c r="F95" s="147" t="str">
        <x:f>'Phase 7'!F13</x:f>
        <x:v>Travel Agent; Ticketing Agent; Supervisor / Manager</x:v>
      </x:c>
      <x:c r="G95" s="147" t="str">
        <x:f>'Phase 7'!G13</x:f>
        <x:v>Medium</x:v>
      </x:c>
      <x:c r="H95" s="169" t="str">
        <x:f>'Phase 7'!H13</x:f>
        <x:v>To Be Confirmed</x:v>
      </x:c>
      <x:c r="I95" s="169" t="str">
        <x:f>'Phase 7'!I13</x:f>
        <x:v>Phase 7 — Fare Optimization and Assisted Recommendations</x:v>
      </x:c>
      <x:c r="J95" s="147" t="str">
        <x:f>'Phase 7'!J13</x:f>
        <x:v>Requires Sabre and ticket data, account rules, fare rules, and approval controls established in earlier phases.</x:v>
      </x:c>
      <x:c r="K95" s="169" t="str">
        <x:f>'Phase 7'!K13</x:f>
        <x:v>Keep as proposed</x:v>
      </x:c>
      <x:c r="L95" s="170" t="str">
        <x:f>'Phase 7'!L13</x:f>
        <x:v>Pending project review</x:v>
      </x:c>
      <x:c r="M95" s="169" t="str">
        <x:f>IF('Phase 7'!M13="","",'Phase 7'!M13)</x:f>
      </x:c>
    </x:row>
    <x:row r="96" ht="56" customHeight="1">
      <x:c r="A96" s="168" t="str">
        <x:f>'Phase 7'!A14</x:f>
        <x:v>P7-08</x:v>
      </x:c>
      <x:c r="B96" s="168" t="str">
        <x:f>'Phase 7'!B14</x:f>
        <x:v>Phase 7</x:v>
      </x:c>
      <x:c r="C96" s="168" t="str">
        <x:f>'Phase 7'!C14</x:f>
        <x:v>Fare Optimization and Assisted Recommendations</x:v>
      </x:c>
      <x:c r="D96" s="147" t="str">
        <x:f>'Phase 7'!D14</x:f>
        <x:v>Approve, reject, or override a recommendation before any ticket or booking is changed.</x:v>
      </x:c>
      <x:c r="E96" s="147" t="str">
        <x:f>'Phase 7'!E14</x:f>
        <x:v>Staff receive explainable recommendations for eligible savings and commercial choices while retaining human approval.</x:v>
      </x:c>
      <x:c r="F96" s="147" t="str">
        <x:f>'Phase 7'!F14</x:f>
        <x:v>Travel Agent; Ticketing Agent; Supervisor / Manager</x:v>
      </x:c>
      <x:c r="G96" s="147" t="str">
        <x:f>'Phase 7'!G14</x:f>
        <x:v>Medium</x:v>
      </x:c>
      <x:c r="H96" s="169" t="str">
        <x:f>'Phase 7'!H14</x:f>
        <x:v>To Be Confirmed</x:v>
      </x:c>
      <x:c r="I96" s="169" t="str">
        <x:f>'Phase 7'!I14</x:f>
        <x:v>Phase 7 — Fare Optimization and Assisted Recommendations</x:v>
      </x:c>
      <x:c r="J96" s="147" t="str">
        <x:f>'Phase 7'!J14</x:f>
        <x:v>Requires Sabre and ticket data, account rules, fare rules, and approval controls established in earlier phases.</x:v>
      </x:c>
      <x:c r="K96" s="169" t="str">
        <x:f>'Phase 7'!K14</x:f>
        <x:v>Keep as proposed</x:v>
      </x:c>
      <x:c r="L96" s="170" t="str">
        <x:f>'Phase 7'!L14</x:f>
        <x:v>Pending project review</x:v>
      </x:c>
      <x:c r="M96" s="169" t="str">
        <x:f>IF('Phase 7'!M14="","",'Phase 7'!M14)</x:f>
      </x:c>
    </x:row>
    <x:row r="97" ht="56" customHeight="1">
      <x:c r="A97" s="168" t="str">
        <x:f>'Phase 7'!A15</x:f>
        <x:v>P7-09</x:v>
      </x:c>
      <x:c r="B97" s="168" t="str">
        <x:f>'Phase 7'!B15</x:f>
        <x:v>Phase 7</x:v>
      </x:c>
      <x:c r="C97" s="168" t="str">
        <x:f>'Phase 7'!C15</x:f>
        <x:v>Fare Optimization and Assisted Recommendations</x:v>
      </x:c>
      <x:c r="D97" s="147" t="str">
        <x:f>'Phase 7'!D15</x:f>
        <x:v>Keep a record of the final decision and the reason for any override.</x:v>
      </x:c>
      <x:c r="E97" s="147" t="str">
        <x:f>'Phase 7'!E15</x:f>
        <x:v>Staff receive explainable recommendations for eligible savings and commercial choices while retaining human approval.</x:v>
      </x:c>
      <x:c r="F97" s="147" t="str">
        <x:f>'Phase 7'!F15</x:f>
        <x:v>Travel Agent; Ticketing Agent; Supervisor / Manager</x:v>
      </x:c>
      <x:c r="G97" s="147" t="str">
        <x:f>'Phase 7'!G15</x:f>
        <x:v>Medium</x:v>
      </x:c>
      <x:c r="H97" s="169" t="str">
        <x:f>'Phase 7'!H15</x:f>
        <x:v>To Be Confirmed</x:v>
      </x:c>
      <x:c r="I97" s="169" t="str">
        <x:f>'Phase 7'!I15</x:f>
        <x:v>Phase 7 — Fare Optimization and Assisted Recommendations</x:v>
      </x:c>
      <x:c r="J97" s="147" t="str">
        <x:f>'Phase 7'!J15</x:f>
        <x:v>Requires Sabre and ticket data, account rules, fare rules, and approval controls established in earlier phases.</x:v>
      </x:c>
      <x:c r="K97" s="169" t="str">
        <x:f>'Phase 7'!K15</x:f>
        <x:v>Keep as proposed</x:v>
      </x:c>
      <x:c r="L97" s="170" t="str">
        <x:f>'Phase 7'!L15</x:f>
        <x:v>Pending project review</x:v>
      </x:c>
      <x:c r="M97" s="169" t="str">
        <x:f>IF('Phase 7'!M15="","",'Phase 7'!M15)</x:f>
      </x:c>
    </x:row>
    <x:row r="98" ht="56" customHeight="1">
      <x:c r="A98" s="168" t="str">
        <x:f>'Phase 8'!A7</x:f>
        <x:v>P8-01</x:v>
      </x:c>
      <x:c r="B98" s="168" t="str">
        <x:f>'Phase 8'!B7</x:f>
        <x:v>Phase 8</x:v>
      </x:c>
      <x:c r="C98" s="168" t="str">
        <x:f>'Phase 8'!C7</x:f>
        <x:v>Client Self-Service and Management Visibility</x:v>
      </x:c>
      <x:c r="D98" s="147" t="str">
        <x:f>'Phase 8'!D7</x:f>
        <x:v>Allow clients to submit a travel request through a secure online form or portal.</x:v>
      </x:c>
      <x:c r="E98" s="147" t="str">
        <x:f>'Phase 8'!E7</x:f>
        <x:v>Clients gain optional self-service tools and management gains consolidated reporting after internal operations are stable.</x:v>
      </x:c>
      <x:c r="F98" s="147" t="str">
        <x:f>'Phase 8'!F7</x:f>
        <x:v>Client; Travel Agent</x:v>
      </x:c>
      <x:c r="G98" s="147" t="str">
        <x:f>'Phase 8'!G7</x:f>
        <x:v>Future</x:v>
      </x:c>
      <x:c r="H98" s="169" t="str">
        <x:f>'Phase 8'!H7</x:f>
        <x:v>To Be Confirmed</x:v>
      </x:c>
      <x:c r="I98" s="169" t="str">
        <x:f>'Phase 8'!I7</x:f>
        <x:v>Phase 8 — Client Self-Service and Management Visibility</x:v>
      </x:c>
      <x:c r="J98" s="147" t="str">
        <x:f>'Phase 8'!J7</x:f>
        <x:v>Requires stable internal workflows, security, permissions, and reliable data from the earlier phases.</x:v>
      </x:c>
      <x:c r="K98" s="169" t="str">
        <x:f>'Phase 8'!K7</x:f>
        <x:v>Keep as proposed</x:v>
      </x:c>
      <x:c r="L98" s="170" t="str">
        <x:f>'Phase 8'!L7</x:f>
        <x:v>Pending project review</x:v>
      </x:c>
      <x:c r="M98" s="169" t="str">
        <x:f>IF('Phase 8'!M7="","",'Phase 8'!M7)</x:f>
      </x:c>
    </x:row>
    <x:row r="99" ht="56" customHeight="1">
      <x:c r="A99" s="168" t="str">
        <x:f>'Phase 8'!A8</x:f>
        <x:v>P8-02</x:v>
      </x:c>
      <x:c r="B99" s="168" t="str">
        <x:f>'Phase 8'!B8</x:f>
        <x:v>Phase 8</x:v>
      </x:c>
      <x:c r="C99" s="168" t="str">
        <x:f>'Phase 8'!C8</x:f>
        <x:v>Client Self-Service and Management Visibility</x:v>
      </x:c>
      <x:c r="D99" s="147" t="str">
        <x:f>'Phase 8'!D8</x:f>
        <x:v>Allow clients to maintain their traveller and family information for future trips.</x:v>
      </x:c>
      <x:c r="E99" s="147" t="str">
        <x:f>'Phase 8'!E8</x:f>
        <x:v>Clients gain optional self-service tools and management gains consolidated reporting after internal operations are stable.</x:v>
      </x:c>
      <x:c r="F99" s="147" t="str">
        <x:f>'Phase 8'!F8</x:f>
        <x:v>Client; Travel Agent</x:v>
      </x:c>
      <x:c r="G99" s="147" t="str">
        <x:f>'Phase 8'!G8</x:f>
        <x:v>Future</x:v>
      </x:c>
      <x:c r="H99" s="169" t="str">
        <x:f>'Phase 8'!H8</x:f>
        <x:v>To Be Confirmed</x:v>
      </x:c>
      <x:c r="I99" s="169" t="str">
        <x:f>'Phase 8'!I8</x:f>
        <x:v>Phase 8 — Client Self-Service and Management Visibility</x:v>
      </x:c>
      <x:c r="J99" s="147" t="str">
        <x:f>'Phase 8'!J8</x:f>
        <x:v>Requires stable internal workflows, security, permissions, and reliable data from the earlier phases.</x:v>
      </x:c>
      <x:c r="K99" s="169" t="str">
        <x:f>'Phase 8'!K8</x:f>
        <x:v>Keep as proposed</x:v>
      </x:c>
      <x:c r="L99" s="170" t="str">
        <x:f>'Phase 8'!L8</x:f>
        <x:v>Pending project review</x:v>
      </x:c>
      <x:c r="M99" s="169" t="str">
        <x:f>IF('Phase 8'!M8="","",'Phase 8'!M8)</x:f>
      </x:c>
    </x:row>
    <x:row r="100" ht="56" customHeight="1">
      <x:c r="A100" s="168" t="str">
        <x:f>'Phase 8'!A9</x:f>
        <x:v>P8-03</x:v>
      </x:c>
      <x:c r="B100" s="168" t="str">
        <x:f>'Phase 8'!B9</x:f>
        <x:v>Phase 8</x:v>
      </x:c>
      <x:c r="C100" s="168" t="str">
        <x:f>'Phase 8'!C9</x:f>
        <x:v>Client Self-Service and Management Visibility</x:v>
      </x:c>
      <x:c r="D100" s="147" t="str">
        <x:f>'Phase 8'!D9</x:f>
        <x:v>Allow clients to upload required documents securely.</x:v>
      </x:c>
      <x:c r="E100" s="147" t="str">
        <x:f>'Phase 8'!E9</x:f>
        <x:v>Clients gain optional self-service tools and management gains consolidated reporting after internal operations are stable.</x:v>
      </x:c>
      <x:c r="F100" s="147" t="str">
        <x:f>'Phase 8'!F9</x:f>
        <x:v>Client; Travel Agent</x:v>
      </x:c>
      <x:c r="G100" s="147" t="str">
        <x:f>'Phase 8'!G9</x:f>
        <x:v>Future</x:v>
      </x:c>
      <x:c r="H100" s="169" t="str">
        <x:f>'Phase 8'!H9</x:f>
        <x:v>To Be Confirmed</x:v>
      </x:c>
      <x:c r="I100" s="169" t="str">
        <x:f>'Phase 8'!I9</x:f>
        <x:v>Phase 8 — Client Self-Service and Management Visibility</x:v>
      </x:c>
      <x:c r="J100" s="147" t="str">
        <x:f>'Phase 8'!J9</x:f>
        <x:v>Requires stable internal workflows, security, permissions, and reliable data from the earlier phases.</x:v>
      </x:c>
      <x:c r="K100" s="169" t="str">
        <x:f>'Phase 8'!K9</x:f>
        <x:v>Keep as proposed</x:v>
      </x:c>
      <x:c r="L100" s="170" t="str">
        <x:f>'Phase 8'!L9</x:f>
        <x:v>Pending project review</x:v>
      </x:c>
      <x:c r="M100" s="169" t="str">
        <x:f>IF('Phase 8'!M9="","",'Phase 8'!M9)</x:f>
      </x:c>
    </x:row>
    <x:row r="101" ht="56" customHeight="1">
      <x:c r="A101" s="168" t="str">
        <x:f>'Phase 8'!A10</x:f>
        <x:v>P8-04</x:v>
      </x:c>
      <x:c r="B101" s="168" t="str">
        <x:f>'Phase 8'!B10</x:f>
        <x:v>Phase 8</x:v>
      </x:c>
      <x:c r="C101" s="168" t="str">
        <x:f>'Phase 8'!C10</x:f>
        <x:v>Client Self-Service and Management Visibility</x:v>
      </x:c>
      <x:c r="D101" s="147" t="str">
        <x:f>'Phase 8'!D10</x:f>
        <x:v>Allow clients to review proposed itineraries and accept, decline, or request changes.</x:v>
      </x:c>
      <x:c r="E101" s="147" t="str">
        <x:f>'Phase 8'!E10</x:f>
        <x:v>Clients gain optional self-service tools and management gains consolidated reporting after internal operations are stable.</x:v>
      </x:c>
      <x:c r="F101" s="147" t="str">
        <x:f>'Phase 8'!F10</x:f>
        <x:v>Client; Travel Agent</x:v>
      </x:c>
      <x:c r="G101" s="147" t="str">
        <x:f>'Phase 8'!G10</x:f>
        <x:v>Future</x:v>
      </x:c>
      <x:c r="H101" s="169" t="str">
        <x:f>'Phase 8'!H10</x:f>
        <x:v>To Be Confirmed</x:v>
      </x:c>
      <x:c r="I101" s="169" t="str">
        <x:f>'Phase 8'!I10</x:f>
        <x:v>Phase 8 — Client Self-Service and Management Visibility</x:v>
      </x:c>
      <x:c r="J101" s="147" t="str">
        <x:f>'Phase 8'!J10</x:f>
        <x:v>Requires stable internal workflows, security, permissions, and reliable data from the earlier phases.</x:v>
      </x:c>
      <x:c r="K101" s="169" t="str">
        <x:f>'Phase 8'!K10</x:f>
        <x:v>Keep as proposed</x:v>
      </x:c>
      <x:c r="L101" s="170" t="str">
        <x:f>'Phase 8'!L10</x:f>
        <x:v>Pending project review</x:v>
      </x:c>
      <x:c r="M101" s="169" t="str">
        <x:f>IF('Phase 8'!M10="","",'Phase 8'!M10)</x:f>
      </x:c>
    </x:row>
    <x:row r="102" ht="56" customHeight="1">
      <x:c r="A102" s="168" t="str">
        <x:f>'Phase 8'!A11</x:f>
        <x:v>P8-05</x:v>
      </x:c>
      <x:c r="B102" s="168" t="str">
        <x:f>'Phase 8'!B11</x:f>
        <x:v>Phase 8</x:v>
      </x:c>
      <x:c r="C102" s="168" t="str">
        <x:f>'Phase 8'!C11</x:f>
        <x:v>Client Self-Service and Management Visibility</x:v>
      </x:c>
      <x:c r="D102" s="147" t="str">
        <x:f>'Phase 8'!D11</x:f>
        <x:v>Allow clients to pay approved invoices or balances online.</x:v>
      </x:c>
      <x:c r="E102" s="147" t="str">
        <x:f>'Phase 8'!E11</x:f>
        <x:v>Clients gain optional self-service tools and management gains consolidated reporting after internal operations are stable.</x:v>
      </x:c>
      <x:c r="F102" s="147" t="str">
        <x:f>'Phase 8'!F11</x:f>
        <x:v>Client; Travel Agent</x:v>
      </x:c>
      <x:c r="G102" s="147" t="str">
        <x:f>'Phase 8'!G11</x:f>
        <x:v>Future</x:v>
      </x:c>
      <x:c r="H102" s="169" t="str">
        <x:f>'Phase 8'!H11</x:f>
        <x:v>To Be Confirmed</x:v>
      </x:c>
      <x:c r="I102" s="169" t="str">
        <x:f>'Phase 8'!I11</x:f>
        <x:v>Phase 8 — Client Self-Service and Management Visibility</x:v>
      </x:c>
      <x:c r="J102" s="147" t="str">
        <x:f>'Phase 8'!J11</x:f>
        <x:v>Requires stable internal workflows, security, permissions, and reliable data from the earlier phases.</x:v>
      </x:c>
      <x:c r="K102" s="169" t="str">
        <x:f>'Phase 8'!K11</x:f>
        <x:v>Keep as proposed</x:v>
      </x:c>
      <x:c r="L102" s="170" t="str">
        <x:f>'Phase 8'!L11</x:f>
        <x:v>Pending project review</x:v>
      </x:c>
      <x:c r="M102" s="169" t="str">
        <x:f>IF('Phase 8'!M11="","",'Phase 8'!M11)</x:f>
      </x:c>
    </x:row>
    <x:row r="103" ht="56" customHeight="1">
      <x:c r="A103" s="168" t="str">
        <x:f>'Phase 8'!A12</x:f>
        <x:v>P8-06</x:v>
      </x:c>
      <x:c r="B103" s="168" t="str">
        <x:f>'Phase 8'!B12</x:f>
        <x:v>Phase 8</x:v>
      </x:c>
      <x:c r="C103" s="168" t="str">
        <x:f>'Phase 8'!C12</x:f>
        <x:v>Client Self-Service and Management Visibility</x:v>
      </x:c>
      <x:c r="D103" s="147" t="str">
        <x:f>'Phase 8'!D12</x:f>
        <x:v>Allow clients to view current itineraries, tickets, trip documents, and important updates.</x:v>
      </x:c>
      <x:c r="E103" s="147" t="str">
        <x:f>'Phase 8'!E12</x:f>
        <x:v>Clients gain optional self-service tools and management gains consolidated reporting after internal operations are stable.</x:v>
      </x:c>
      <x:c r="F103" s="147" t="str">
        <x:f>'Phase 8'!F12</x:f>
        <x:v>Client; Travel Agent</x:v>
      </x:c>
      <x:c r="G103" s="147" t="str">
        <x:f>'Phase 8'!G12</x:f>
        <x:v>Future</x:v>
      </x:c>
      <x:c r="H103" s="169" t="str">
        <x:f>'Phase 8'!H12</x:f>
        <x:v>To Be Confirmed</x:v>
      </x:c>
      <x:c r="I103" s="169" t="str">
        <x:f>'Phase 8'!I12</x:f>
        <x:v>Phase 8 — Client Self-Service and Management Visibility</x:v>
      </x:c>
      <x:c r="J103" s="147" t="str">
        <x:f>'Phase 8'!J12</x:f>
        <x:v>Requires stable internal workflows, security, permissions, and reliable data from the earlier phases.</x:v>
      </x:c>
      <x:c r="K103" s="169" t="str">
        <x:f>'Phase 8'!K12</x:f>
        <x:v>Keep as proposed</x:v>
      </x:c>
      <x:c r="L103" s="170" t="str">
        <x:f>'Phase 8'!L12</x:f>
        <x:v>Pending project review</x:v>
      </x:c>
      <x:c r="M103" s="169" t="str">
        <x:f>IF('Phase 8'!M12="","",'Phase 8'!M12)</x:f>
      </x:c>
    </x:row>
    <x:row r="104" ht="56" customHeight="1">
      <x:c r="A104" s="168" t="str">
        <x:f>'Phase 8'!A13</x:f>
        <x:v>P8-07</x:v>
      </x:c>
      <x:c r="B104" s="168" t="str">
        <x:f>'Phase 8'!B13</x:f>
        <x:v>Phase 8</x:v>
      </x:c>
      <x:c r="C104" s="168" t="str">
        <x:f>'Phase 8'!C13</x:f>
        <x:v>Client Self-Service and Management Visibility</x:v>
      </x:c>
      <x:c r="D104" s="147" t="str">
        <x:f>'Phase 8'!D13</x:f>
        <x:v>Allow clients to confirm check-in or request help from their assigned agent.</x:v>
      </x:c>
      <x:c r="E104" s="147" t="str">
        <x:f>'Phase 8'!E13</x:f>
        <x:v>Clients gain optional self-service tools and management gains consolidated reporting after internal operations are stable.</x:v>
      </x:c>
      <x:c r="F104" s="147" t="str">
        <x:f>'Phase 8'!F13</x:f>
        <x:v>Client; Travel Agent</x:v>
      </x:c>
      <x:c r="G104" s="147" t="str">
        <x:f>'Phase 8'!G13</x:f>
        <x:v>Future</x:v>
      </x:c>
      <x:c r="H104" s="169" t="str">
        <x:f>'Phase 8'!H13</x:f>
        <x:v>To Be Confirmed</x:v>
      </x:c>
      <x:c r="I104" s="169" t="str">
        <x:f>'Phase 8'!I13</x:f>
        <x:v>Phase 8 — Client Self-Service and Management Visibility</x:v>
      </x:c>
      <x:c r="J104" s="147" t="str">
        <x:f>'Phase 8'!J13</x:f>
        <x:v>Requires stable internal workflows, security, permissions, and reliable data from the earlier phases.</x:v>
      </x:c>
      <x:c r="K104" s="169" t="str">
        <x:f>'Phase 8'!K13</x:f>
        <x:v>Keep as proposed</x:v>
      </x:c>
      <x:c r="L104" s="170" t="str">
        <x:f>'Phase 8'!L13</x:f>
        <x:v>Pending project review</x:v>
      </x:c>
      <x:c r="M104" s="169" t="str">
        <x:f>IF('Phase 8'!M13="","",'Phase 8'!M13)</x:f>
      </x:c>
    </x:row>
    <x:row r="105" ht="56" customHeight="1">
      <x:c r="A105" s="168" t="str">
        <x:f>'Phase 8'!A14</x:f>
        <x:v>P8-08</x:v>
      </x:c>
      <x:c r="B105" s="168" t="str">
        <x:f>'Phase 8'!B14</x:f>
        <x:v>Phase 8</x:v>
      </x:c>
      <x:c r="C105" s="168" t="str">
        <x:f>'Phase 8'!C14</x:f>
        <x:v>Client Self-Service and Management Visibility</x:v>
      </x:c>
      <x:c r="D105" s="147" t="str">
        <x:f>'Phase 8'!D14</x:f>
        <x:v>Allow managers to see inquiry-to-booking conversion and the main reasons clients decline.</x:v>
      </x:c>
      <x:c r="E105" s="147" t="str">
        <x:f>'Phase 8'!E14</x:f>
        <x:v>Clients gain optional self-service tools and management gains consolidated reporting after internal operations are stable.</x:v>
      </x:c>
      <x:c r="F105" s="147" t="str">
        <x:f>'Phase 8'!F14</x:f>
        <x:v>Supervisor / Manager</x:v>
      </x:c>
      <x:c r="G105" s="147" t="str">
        <x:f>'Phase 8'!G14</x:f>
        <x:v>Future</x:v>
      </x:c>
      <x:c r="H105" s="169" t="str">
        <x:f>'Phase 8'!H14</x:f>
        <x:v>To Be Confirmed</x:v>
      </x:c>
      <x:c r="I105" s="169" t="str">
        <x:f>'Phase 8'!I14</x:f>
        <x:v>Phase 8 — Client Self-Service and Management Visibility</x:v>
      </x:c>
      <x:c r="J105" s="147" t="str">
        <x:f>'Phase 8'!J14</x:f>
        <x:v>Requires stable internal workflows, security, permissions, and reliable data from the earlier phases.</x:v>
      </x:c>
      <x:c r="K105" s="169" t="str">
        <x:f>'Phase 8'!K14</x:f>
        <x:v>Keep as proposed</x:v>
      </x:c>
      <x:c r="L105" s="170" t="str">
        <x:f>'Phase 8'!L14</x:f>
        <x:v>Pending project review</x:v>
      </x:c>
      <x:c r="M105" s="169" t="str">
        <x:f>IF('Phase 8'!M14="","",'Phase 8'!M14)</x:f>
      </x:c>
    </x:row>
    <x:row r="106" ht="56" customHeight="1">
      <x:c r="A106" s="168" t="str">
        <x:f>'Phase 8'!A15</x:f>
        <x:v>P8-09</x:v>
      </x:c>
      <x:c r="B106" s="168" t="str">
        <x:f>'Phase 8'!B15</x:f>
        <x:v>Phase 8</x:v>
      </x:c>
      <x:c r="C106" s="168" t="str">
        <x:f>'Phase 8'!C15</x:f>
        <x:v>Client Self-Service and Management Visibility</x:v>
      </x:c>
      <x:c r="D106" s="147" t="str">
        <x:f>'Phase 8'!D15</x:f>
        <x:v>Allow managers to see booking-fee revenue, sales, commissions, markups, and estimated profitability.</x:v>
      </x:c>
      <x:c r="E106" s="147" t="str">
        <x:f>'Phase 8'!E15</x:f>
        <x:v>Clients gain optional self-service tools and management gains consolidated reporting after internal operations are stable.</x:v>
      </x:c>
      <x:c r="F106" s="147" t="str">
        <x:f>'Phase 8'!F15</x:f>
        <x:v>Supervisor / Manager</x:v>
      </x:c>
      <x:c r="G106" s="147" t="str">
        <x:f>'Phase 8'!G15</x:f>
        <x:v>Future</x:v>
      </x:c>
      <x:c r="H106" s="169" t="str">
        <x:f>'Phase 8'!H15</x:f>
        <x:v>To Be Confirmed</x:v>
      </x:c>
      <x:c r="I106" s="169" t="str">
        <x:f>'Phase 8'!I15</x:f>
        <x:v>Phase 8 — Client Self-Service and Management Visibility</x:v>
      </x:c>
      <x:c r="J106" s="147" t="str">
        <x:f>'Phase 8'!J15</x:f>
        <x:v>Requires stable internal workflows, security, permissions, and reliable data from the earlier phases.</x:v>
      </x:c>
      <x:c r="K106" s="169" t="str">
        <x:f>'Phase 8'!K15</x:f>
        <x:v>Keep as proposed</x:v>
      </x:c>
      <x:c r="L106" s="170" t="str">
        <x:f>'Phase 8'!L15</x:f>
        <x:v>Pending project review</x:v>
      </x:c>
      <x:c r="M106" s="169" t="str">
        <x:f>IF('Phase 8'!M15="","",'Phase 8'!M15)</x:f>
      </x:c>
    </x:row>
    <x:row r="107" ht="56" customHeight="1">
      <x:c r="A107" s="168" t="str">
        <x:f>'Phase 8'!A16</x:f>
        <x:v>P8-10</x:v>
      </x:c>
      <x:c r="B107" s="168" t="str">
        <x:f>'Phase 8'!B16</x:f>
        <x:v>Phase 8</x:v>
      </x:c>
      <x:c r="C107" s="168" t="str">
        <x:f>'Phase 8'!C16</x:f>
        <x:v>Client Self-Service and Management Visibility</x:v>
      </x:c>
      <x:c r="D107" s="147" t="str">
        <x:f>'Phase 8'!D16</x:f>
        <x:v>Allow managers to see ticketing deadlines, active-trip risks, unresolved refunds, and queue exceptions.</x:v>
      </x:c>
      <x:c r="E107" s="147" t="str">
        <x:f>'Phase 8'!E16</x:f>
        <x:v>Clients gain optional self-service tools and management gains consolidated reporting after internal operations are stable.</x:v>
      </x:c>
      <x:c r="F107" s="147" t="str">
        <x:f>'Phase 8'!F16</x:f>
        <x:v>Supervisor / Manager</x:v>
      </x:c>
      <x:c r="G107" s="147" t="str">
        <x:f>'Phase 8'!G16</x:f>
        <x:v>Future</x:v>
      </x:c>
      <x:c r="H107" s="169" t="str">
        <x:f>'Phase 8'!H16</x:f>
        <x:v>To Be Confirmed</x:v>
      </x:c>
      <x:c r="I107" s="169" t="str">
        <x:f>'Phase 8'!I16</x:f>
        <x:v>Phase 8 — Client Self-Service and Management Visibility</x:v>
      </x:c>
      <x:c r="J107" s="147" t="str">
        <x:f>'Phase 8'!J16</x:f>
        <x:v>Requires stable internal workflows, security, permissions, and reliable data from the earlier phases.</x:v>
      </x:c>
      <x:c r="K107" s="169" t="str">
        <x:f>'Phase 8'!K16</x:f>
        <x:v>Keep as proposed</x:v>
      </x:c>
      <x:c r="L107" s="170" t="str">
        <x:f>'Phase 8'!L16</x:f>
        <x:v>Pending project review</x:v>
      </x:c>
      <x:c r="M107" s="169" t="str">
        <x:f>IF('Phase 8'!M16="","",'Phase 8'!M16)</x:f>
      </x:c>
    </x:row>
    <x:row r="108" ht="56" customHeight="1">
      <x:c r="A108" s="168" t="str">
        <x:f>'Phase 8'!A17</x:f>
        <x:v>P8-11</x:v>
      </x:c>
      <x:c r="B108" s="168" t="str">
        <x:f>'Phase 8'!B17</x:f>
        <x:v>Phase 8</x:v>
      </x:c>
      <x:c r="C108" s="168" t="str">
        <x:f>'Phase 8'!C17</x:f>
        <x:v>Client Self-Service and Management Visibility</x:v>
      </x:c>
      <x:c r="D108" s="147" t="str">
        <x:f>'Phase 8'!D17</x:f>
        <x:v>Allow managers to review agent workload, open requests, follow-up performance, and urgent client cases.</x:v>
      </x:c>
      <x:c r="E108" s="147" t="str">
        <x:f>'Phase 8'!E17</x:f>
        <x:v>Clients gain optional self-service tools and management gains consolidated reporting after internal operations are stable.</x:v>
      </x:c>
      <x:c r="F108" s="147" t="str">
        <x:f>'Phase 8'!F17</x:f>
        <x:v>Supervisor / Manager</x:v>
      </x:c>
      <x:c r="G108" s="147" t="str">
        <x:f>'Phase 8'!G17</x:f>
        <x:v>Future</x:v>
      </x:c>
      <x:c r="H108" s="169" t="str">
        <x:f>'Phase 8'!H17</x:f>
        <x:v>To Be Confirmed</x:v>
      </x:c>
      <x:c r="I108" s="169" t="str">
        <x:f>'Phase 8'!I17</x:f>
        <x:v>Phase 8 — Client Self-Service and Management Visibility</x:v>
      </x:c>
      <x:c r="J108" s="147" t="str">
        <x:f>'Phase 8'!J17</x:f>
        <x:v>Requires stable internal workflows, security, permissions, and reliable data from the earlier phases.</x:v>
      </x:c>
      <x:c r="K108" s="169" t="str">
        <x:f>'Phase 8'!K17</x:f>
        <x:v>Keep as proposed</x:v>
      </x:c>
      <x:c r="L108" s="170" t="str">
        <x:f>'Phase 8'!L17</x:f>
        <x:v>Pending project review</x:v>
      </x:c>
      <x:c r="M108" s="169" t="str">
        <x:f>IF('Phase 8'!M17="","",'Phase 8'!M17)</x:f>
      </x:c>
    </x:row>
    <x:row r="109" ht="56" customHeight="1">
      <x:c r="A109" s="168" t="str">
        <x:f>'Phase 8'!A18</x:f>
        <x:v>P8-12</x:v>
      </x:c>
      <x:c r="B109" s="168" t="str">
        <x:f>'Phase 8'!B18</x:f>
        <x:v>Phase 8</x:v>
      </x:c>
      <x:c r="C109" s="168" t="str">
        <x:f>'Phase 8'!C18</x:f>
        <x:v>Client Self-Service and Management Visibility</x:v>
      </x:c>
      <x:c r="D109" s="147" t="str">
        <x:f>'Phase 8'!D18</x:f>
        <x:v>Allow managers to review how often system recommendations were accepted or overridden.</x:v>
      </x:c>
      <x:c r="E109" s="147" t="str">
        <x:f>'Phase 8'!E18</x:f>
        <x:v>Clients gain optional self-service tools and management gains consolidated reporting after internal operations are stable.</x:v>
      </x:c>
      <x:c r="F109" s="147" t="str">
        <x:f>'Phase 8'!F18</x:f>
        <x:v>Supervisor / Manager</x:v>
      </x:c>
      <x:c r="G109" s="147" t="str">
        <x:f>'Phase 8'!G18</x:f>
        <x:v>Future</x:v>
      </x:c>
      <x:c r="H109" s="169" t="str">
        <x:f>'Phase 8'!H18</x:f>
        <x:v>To Be Confirmed</x:v>
      </x:c>
      <x:c r="I109" s="169" t="str">
        <x:f>'Phase 8'!I18</x:f>
        <x:v>Phase 8 — Client Self-Service and Management Visibility</x:v>
      </x:c>
      <x:c r="J109" s="147" t="str">
        <x:f>'Phase 8'!J18</x:f>
        <x:v>Requires stable internal workflows, security, permissions, and reliable data from the earlier phases.</x:v>
      </x:c>
      <x:c r="K109" s="169" t="str">
        <x:f>'Phase 8'!K18</x:f>
        <x:v>Keep as proposed</x:v>
      </x:c>
      <x:c r="L109" s="170" t="str">
        <x:f>'Phase 8'!L18</x:f>
        <x:v>Pending project review</x:v>
      </x:c>
      <x:c r="M109" s="169" t="str">
        <x:f>IF('Phase 8'!M18="","",'Phase 8'!M18)</x:f>
      </x:c>
    </x:row>
    <x:row r="110" ht="56" customHeight="1">
      <x:c r="A110" s="171" t="str">
        <x:f>'Phase 8'!A19</x:f>
        <x:v>P8-13</x:v>
      </x:c>
      <x:c r="B110" s="171" t="str">
        <x:f>'Phase 8'!B19</x:f>
        <x:v>Phase 8</x:v>
      </x:c>
      <x:c r="C110" s="171" t="str">
        <x:f>'Phase 8'!C19</x:f>
        <x:v>Client Self-Service and Management Visibility</x:v>
      </x:c>
      <x:c r="D110" s="149" t="str">
        <x:f>'Phase 8'!D19</x:f>
        <x:v>Allow managers to use reports to decide which services, client groups, airlines, and processes need attention.</x:v>
      </x:c>
      <x:c r="E110" s="149" t="str">
        <x:f>'Phase 8'!E19</x:f>
        <x:v>Clients gain optional self-service tools and management gains consolidated reporting after internal operations are stable.</x:v>
      </x:c>
      <x:c r="F110" s="149" t="str">
        <x:f>'Phase 8'!F19</x:f>
        <x:v>Supervisor / Manager</x:v>
      </x:c>
      <x:c r="G110" s="149" t="str">
        <x:f>'Phase 8'!G19</x:f>
        <x:v>Future</x:v>
      </x:c>
      <x:c r="H110" s="172" t="str">
        <x:f>'Phase 8'!H19</x:f>
        <x:v>To Be Confirmed</x:v>
      </x:c>
      <x:c r="I110" s="172" t="str">
        <x:f>'Phase 8'!I19</x:f>
        <x:v>Phase 8 — Client Self-Service and Management Visibility</x:v>
      </x:c>
      <x:c r="J110" s="149" t="str">
        <x:f>'Phase 8'!J19</x:f>
        <x:v>Requires stable internal workflows, security, permissions, and reliable data from the earlier phases.</x:v>
      </x:c>
      <x:c r="K110" s="172" t="str">
        <x:f>'Phase 8'!K19</x:f>
        <x:v>Keep as proposed</x:v>
      </x:c>
      <x:c r="L110" s="173" t="str">
        <x:f>'Phase 8'!L19</x:f>
        <x:v>Pending project review</x:v>
      </x:c>
      <x:c r="M110" s="172" t="str">
        <x:f>IF('Phase 8'!M19="","",'Phase 8'!M19)</x:f>
      </x:c>
    </x:row>
  </x:sheetData>
  <x:mergeCells>
    <x:mergeCell ref="A1:M1"/>
    <x:mergeCell ref="A2:M2"/>
    <x:mergeCell ref="A3:M3"/>
  </x:mergeCells>
  <x:conditionalFormatting sqref="H6:H110">
    <x:cfRule type="containsText" dxfId="80" priority="1" operator="containsText" text="Must Have"/>
    <x:cfRule type="containsText" dxfId="81" priority="2" operator="containsText" text="High"/>
    <x:cfRule type="containsText" dxfId="82" priority="3" operator="containsText" text="Medium"/>
    <x:cfRule type="containsText" dxfId="83" priority="4" operator="containsText" text="Low"/>
    <x:cfRule type="containsText" dxfId="84" priority="5" operator="containsText" text="Future"/>
    <x:cfRule type="containsText" dxfId="85" priority="6" operator="containsText" text="Remove"/>
  </x:conditionalFormatting>
  <x:conditionalFormatting sqref="K6:K110">
    <x:cfRule type="containsText" dxfId="86" priority="7" operator="containsText" text="Move"/>
    <x:cfRule type="containsText" dxfId="87" priority="8" operator="containsText" text="Remove"/>
    <x:cfRule type="containsText" dxfId="88" priority="9" operator="containsText" text="Needs discussion"/>
    <x:cfRule type="containsText" dxfId="89" priority="10" operator="containsText" text="Keep"/>
  </x:conditionalFormatting>
  <x:pageMargins left="0.7" right="0.7" top="0.75" bottom="0.75" header="0.3" footer="0.3"/>
  <x:tableParts count="1">
    <x:tablePart xmlns:r="http://schemas.openxmlformats.org/officeDocument/2006/relationships" r:id="R3df6eabea11e48d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34" hidden="0" customWidth="1"/>
    <x:col min="4" max="4" width="62" hidden="0" customWidth="1"/>
    <x:col min="5" max="5" width="44" hidden="0" customWidth="1"/>
    <x:col min="6" max="6" width="30" hidden="0" customWidth="1"/>
    <x:col min="7" max="7" width="20" hidden="0" customWidth="1"/>
    <x:col min="8" max="8" width="20" hidden="0" customWidth="1"/>
    <x:col min="9" max="9" width="42" hidden="0" customWidth="1"/>
    <x:col min="10" max="10" width="46" hidden="0" customWidth="1"/>
    <x:col min="11" max="11" width="24" hidden="0" customWidth="1"/>
    <x:col min="12" max="12" width="28" hidden="0" customWidth="1"/>
    <x:col min="13" max="13" width="42" hidden="0" customWidth="1"/>
  </x:cols>
  <x:sheetData>
    <x:row r="1" ht="32" customHeight="1">
      <x:c r="A1" s="131" t="str">
        <x:v>Phase 1 — Client Intake and Daily Work Management</x:v>
      </x:c>
      <x:c r="B1" s="131"/>
      <x:c r="C1" s="131"/>
      <x:c r="D1" s="131"/>
      <x:c r="E1" s="131"/>
      <x:c r="F1" s="131"/>
      <x:c r="G1" s="131"/>
      <x:c r="H1" s="131"/>
      <x:c r="I1" s="131"/>
      <x:c r="J1" s="131"/>
      <x:c r="K1" s="131"/>
      <x:c r="L1" s="131"/>
      <x:c r="M1" s="131"/>
    </x:row>
    <x:row r="2" ht="34" customHeight="1">
      <x:c r="A2" s="132" t="str">
        <x:v>A controlled client-intake process with reusable traveller records, clear ownership, reminders, and role-based access.</x:v>
      </x:c>
      <x:c r="B2" s="132"/>
      <x:c r="C2" s="132"/>
      <x:c r="D2" s="132"/>
      <x:c r="E2" s="132"/>
      <x:c r="F2" s="132"/>
      <x:c r="G2" s="132"/>
      <x:c r="H2" s="132"/>
      <x:c r="I2" s="132"/>
      <x:c r="J2" s="132"/>
      <x:c r="K2" s="132"/>
      <x:c r="L2" s="132"/>
      <x:c r="M2" s="132"/>
    </x:row>
    <x:row r="3" ht="34" customHeight="1">
      <x:c r="A3" s="164" t="str">
        <x:v>Review each deliverable below. Use the yellow columns to set the client priority, request another phase, record a decision, or add comments. Phase changes remain subject to dependency review.</x:v>
      </x:c>
      <x:c r="B3" s="164"/>
      <x:c r="C3" s="164"/>
      <x:c r="D3" s="164"/>
      <x:c r="E3" s="164"/>
      <x:c r="F3" s="164"/>
      <x:c r="G3" s="164"/>
      <x:c r="H3" s="164"/>
      <x:c r="I3" s="164"/>
      <x:c r="J3" s="164"/>
      <x:c r="K3" s="164"/>
      <x:c r="L3" s="164"/>
      <x:c r="M3" s="164"/>
    </x:row>
    <x:row r="4">
      <x:c r="A4" s="133"/>
      <x:c r="B4" s="133"/>
      <x:c r="C4" s="133"/>
      <x:c r="D4" s="133"/>
      <x:c r="E4" s="133"/>
      <x:c r="F4" s="133"/>
      <x:c r="G4" s="133"/>
      <x:c r="H4" s="133"/>
      <x:c r="I4" s="133"/>
      <x:c r="J4" s="133"/>
      <x:c r="K4" s="133"/>
      <x:c r="L4" s="133"/>
      <x:c r="M4" s="133"/>
    </x:row>
    <x:row r="5">
      <x:c r="A5" s="174" t="str">
        <x:v>Original phase</x:v>
      </x:c>
      <x:c r="B5" s="175" t="str">
        <x:v>Phase 1 — Client Intake and Daily Work Management</x:v>
      </x:c>
      <x:c r="C5" s="175"/>
      <x:c r="D5" s="176" t="str">
        <x:v>Recommended sequence</x:v>
      </x:c>
      <x:c r="E5" s="175" t="str">
        <x:v>Foundation for every later phase.</x:v>
      </x:c>
      <x:c r="F5" s="175"/>
      <x:c r="G5" s="175"/>
      <x:c r="H5" s="175"/>
      <x:c r="I5" s="175"/>
      <x:c r="J5" s="175"/>
      <x:c r="K5" s="175"/>
      <x:c r="L5" s="175"/>
      <x:c r="M5" s="177"/>
    </x:row>
    <x:row r="6" ht="32" customHeight="1">
      <x:c r="A6" s="142" t="str">
        <x:v>Item ID</x:v>
      </x:c>
      <x:c r="B6" s="143" t="str">
        <x:v>Current Phase</x:v>
      </x:c>
      <x:c r="C6" s="143" t="str">
        <x:v>Phase Name</x:v>
      </x:c>
      <x:c r="D6" s="143" t="str">
        <x:v>What users will be able to do</x:v>
      </x:c>
      <x:c r="E6" s="143" t="str">
        <x:v>Expected outcome</x:v>
      </x:c>
      <x:c r="F6" s="143" t="str">
        <x:v>Primary role(s)</x:v>
      </x:c>
      <x:c r="G6" s="143" t="str">
        <x:v>Recommended priority</x:v>
      </x:c>
      <x:c r="H6" s="143" t="str">
        <x:v>Client priority</x:v>
      </x:c>
      <x:c r="I6" s="143" t="str">
        <x:v>Requested phase</x:v>
      </x:c>
      <x:c r="J6" s="143" t="str">
        <x:v>Dependency / sequencing note</x:v>
      </x:c>
      <x:c r="K6" s="143" t="str">
        <x:v>Client decision</x:v>
      </x:c>
      <x:c r="L6" s="143" t="str">
        <x:v>Project team review</x:v>
      </x:c>
      <x:c r="M6" s="144" t="str">
        <x:v>Client comments</x:v>
      </x:c>
    </x:row>
    <x:row r="7" ht="64" customHeight="1">
      <x:c r="A7" s="165" t="str">
        <x:v>P1-01</x:v>
      </x:c>
      <x:c r="B7" s="165" t="str">
        <x:v>Phase 1</x:v>
      </x:c>
      <x:c r="C7" s="165" t="str">
        <x:v>Client Intake and Daily Work Management</x:v>
      </x:c>
      <x:c r="D7" s="145" t="str">
        <x:v>Continue receiving client requests through WhatsApp without changing the client’s current experience.</x:v>
      </x:c>
      <x:c r="E7" s="145" t="str">
        <x:v>A controlled client-intake process with reusable traveller records, clear ownership, reminders, and role-based access.</x:v>
      </x:c>
      <x:c r="F7" s="145" t="str">
        <x:v>Offshore Intake Employee; Travel Agent</x:v>
      </x:c>
      <x:c r="G7" s="178" t="str">
        <x:v>Must Have</x:v>
      </x:c>
      <x:c r="H7" s="166" t="str">
        <x:v>To Be Confirmed</x:v>
      </x:c>
      <x:c r="I7" s="166" t="str">
        <x:v>Phase 1 — Client Intake and Daily Work Management</x:v>
      </x:c>
      <x:c r="J7" s="145" t="str">
        <x:v>Foundation for every later phase.</x:v>
      </x:c>
      <x:c r="K7" s="166" t="str">
        <x:v>Keep as proposed</x:v>
      </x:c>
      <x:c r="L7" s="167" t="str">
        <x:v>Pending project review</x:v>
      </x:c>
      <x:c r="M7" s="166" t="str"/>
    </x:row>
    <x:row r="8" ht="64" customHeight="1">
      <x:c r="A8" s="168" t="str">
        <x:v>P1-02</x:v>
      </x:c>
      <x:c r="B8" s="168" t="str">
        <x:v>Phase 1</x:v>
      </x:c>
      <x:c r="C8" s="168" t="str">
        <x:v>Client Intake and Daily Work Management</x:v>
      </x:c>
      <x:c r="D8" s="147" t="str">
        <x:v>Find an existing client or create a new client record.</x:v>
      </x:c>
      <x:c r="E8" s="147" t="str">
        <x:v>A controlled client-intake process with reusable traveller records, clear ownership, reminders, and role-based access.</x:v>
      </x:c>
      <x:c r="F8" s="147" t="str">
        <x:v>Offshore Intake Employee; Travel Agent</x:v>
      </x:c>
      <x:c r="G8" s="179" t="str">
        <x:v>Must Have</x:v>
      </x:c>
      <x:c r="H8" s="169" t="str">
        <x:v>To Be Confirmed</x:v>
      </x:c>
      <x:c r="I8" s="169" t="str">
        <x:v>Phase 1 — Client Intake and Daily Work Management</x:v>
      </x:c>
      <x:c r="J8" s="147" t="str">
        <x:v>Foundation for every later phase.</x:v>
      </x:c>
      <x:c r="K8" s="169" t="str">
        <x:v>Keep as proposed</x:v>
      </x:c>
      <x:c r="L8" s="170" t="str">
        <x:v>Pending project review</x:v>
      </x:c>
      <x:c r="M8" s="169" t="str"/>
    </x:row>
    <x:row r="9" ht="64" customHeight="1">
      <x:c r="A9" s="168" t="str">
        <x:v>P1-03</x:v>
      </x:c>
      <x:c r="B9" s="168" t="str">
        <x:v>Phase 1</x:v>
      </x:c>
      <x:c r="C9" s="168" t="str">
        <x:v>Client Intake and Daily Work Management</x:v>
      </x:c>
      <x:c r="D9" s="147" t="str">
        <x:v>Choose the applicable booking-fee group (standard, Belev Echad, or Scheiman) and see the correct fee for each passenger.</x:v>
      </x:c>
      <x:c r="E9" s="147" t="str">
        <x:v>A controlled client-intake process with reusable traveller records, clear ownership, reminders, and role-based access.</x:v>
      </x:c>
      <x:c r="F9" s="147" t="str">
        <x:v>Offshore Intake Employee; Travel Agent</x:v>
      </x:c>
      <x:c r="G9" s="179" t="str">
        <x:v>Must Have</x:v>
      </x:c>
      <x:c r="H9" s="169" t="str">
        <x:v>To Be Confirmed</x:v>
      </x:c>
      <x:c r="I9" s="169" t="str">
        <x:v>Phase 1 — Client Intake and Daily Work Management</x:v>
      </x:c>
      <x:c r="J9" s="147" t="str">
        <x:v>Foundation for every later phase.</x:v>
      </x:c>
      <x:c r="K9" s="169" t="str">
        <x:v>Keep as proposed</x:v>
      </x:c>
      <x:c r="L9" s="170" t="str">
        <x:v>Pending project review</x:v>
      </x:c>
      <x:c r="M9" s="169" t="str"/>
    </x:row>
    <x:row r="10" ht="64" customHeight="1">
      <x:c r="A10" s="168" t="str">
        <x:v>P1-04</x:v>
      </x:c>
      <x:c r="B10" s="168" t="str">
        <x:v>Phase 1</x:v>
      </x:c>
      <x:c r="C10" s="168" t="str">
        <x:v>Client Intake and Daily Work Management</x:v>
      </x:c>
      <x:c r="D10" s="147" t="str">
        <x:v>Add the client’s family members, dependants, and other travellers once and reuse their information for future trips.</x:v>
      </x:c>
      <x:c r="E10" s="147" t="str">
        <x:v>A controlled client-intake process with reusable traveller records, clear ownership, reminders, and role-based access.</x:v>
      </x:c>
      <x:c r="F10" s="147" t="str">
        <x:v>Offshore Intake Employee; Travel Agent</x:v>
      </x:c>
      <x:c r="G10" s="179" t="str">
        <x:v>Must Have</x:v>
      </x:c>
      <x:c r="H10" s="169" t="str">
        <x:v>To Be Confirmed</x:v>
      </x:c>
      <x:c r="I10" s="169" t="str">
        <x:v>Phase 1 — Client Intake and Daily Work Management</x:v>
      </x:c>
      <x:c r="J10" s="147" t="str">
        <x:v>Foundation for every later phase.</x:v>
      </x:c>
      <x:c r="K10" s="169" t="str">
        <x:v>Keep as proposed</x:v>
      </x:c>
      <x:c r="L10" s="170" t="str">
        <x:v>Pending project review</x:v>
      </x:c>
      <x:c r="M10" s="169" t="str"/>
    </x:row>
    <x:row r="11" ht="64" customHeight="1">
      <x:c r="A11" s="168" t="str">
        <x:v>P1-05</x:v>
      </x:c>
      <x:c r="B11" s="168" t="str">
        <x:v>Phase 1</x:v>
      </x:c>
      <x:c r="C11" s="168" t="str">
        <x:v>Client Intake and Daily Work Management</x:v>
      </x:c>
      <x:c r="D11" s="147" t="str">
        <x:v>Move each new client through clear onboarding stages: new inquiry, welcome sent, waiting for information, information received, review complete, and fully onboarded.</x:v>
      </x:c>
      <x:c r="E11" s="147" t="str">
        <x:v>A controlled client-intake process with reusable traveller records, clear ownership, reminders, and role-based access.</x:v>
      </x:c>
      <x:c r="F11" s="147" t="str">
        <x:v>Offshore Intake Employee; Travel Agent</x:v>
      </x:c>
      <x:c r="G11" s="179" t="str">
        <x:v>Must Have</x:v>
      </x:c>
      <x:c r="H11" s="169" t="str">
        <x:v>To Be Confirmed</x:v>
      </x:c>
      <x:c r="I11" s="169" t="str">
        <x:v>Phase 1 — Client Intake and Daily Work Management</x:v>
      </x:c>
      <x:c r="J11" s="147" t="str">
        <x:v>Foundation for every later phase.</x:v>
      </x:c>
      <x:c r="K11" s="169" t="str">
        <x:v>Keep as proposed</x:v>
      </x:c>
      <x:c r="L11" s="170" t="str">
        <x:v>Pending project review</x:v>
      </x:c>
      <x:c r="M11" s="169" t="str"/>
    </x:row>
    <x:row r="12" ht="64" customHeight="1">
      <x:c r="A12" s="168" t="str">
        <x:v>P1-06</x:v>
      </x:c>
      <x:c r="B12" s="168" t="str">
        <x:v>Phase 1</x:v>
      </x:c>
      <x:c r="C12" s="168" t="str">
        <x:v>Client Intake and Daily Work Management</x:v>
      </x:c>
      <x:c r="D12" s="147" t="str">
        <x:v>See the client’s current onboarding stage, the missing steps, and the next required action.</x:v>
      </x:c>
      <x:c r="E12" s="147" t="str">
        <x:v>A controlled client-intake process with reusable traveller records, clear ownership, reminders, and role-based access.</x:v>
      </x:c>
      <x:c r="F12" s="147" t="str">
        <x:v>Offshore Intake Employee; Travel Agent</x:v>
      </x:c>
      <x:c r="G12" s="179" t="str">
        <x:v>Must Have</x:v>
      </x:c>
      <x:c r="H12" s="169" t="str">
        <x:v>To Be Confirmed</x:v>
      </x:c>
      <x:c r="I12" s="169" t="str">
        <x:v>Phase 1 — Client Intake and Daily Work Management</x:v>
      </x:c>
      <x:c r="J12" s="147" t="str">
        <x:v>Foundation for every later phase.</x:v>
      </x:c>
      <x:c r="K12" s="169" t="str">
        <x:v>Keep as proposed</x:v>
      </x:c>
      <x:c r="L12" s="170" t="str">
        <x:v>Pending project review</x:v>
      </x:c>
      <x:c r="M12" s="169" t="str"/>
    </x:row>
    <x:row r="13" ht="64" customHeight="1">
      <x:c r="A13" s="168" t="str">
        <x:v>P1-07</x:v>
      </x:c>
      <x:c r="B13" s="168" t="str">
        <x:v>Phase 1</x:v>
      </x:c>
      <x:c r="C13" s="168" t="str">
        <x:v>Client Intake and Daily Work Management</x:v>
      </x:c>
      <x:c r="D13" s="147" t="str">
        <x:v>Prevent onboarding from being marked complete until the required client and traveller information has been reviewed.</x:v>
      </x:c>
      <x:c r="E13" s="147" t="str">
        <x:v>A controlled client-intake process with reusable traveller records, clear ownership, reminders, and role-based access.</x:v>
      </x:c>
      <x:c r="F13" s="147" t="str">
        <x:v>Offshore Intake Employee; Travel Agent</x:v>
      </x:c>
      <x:c r="G13" s="179" t="str">
        <x:v>Must Have</x:v>
      </x:c>
      <x:c r="H13" s="169" t="str">
        <x:v>To Be Confirmed</x:v>
      </x:c>
      <x:c r="I13" s="169" t="str">
        <x:v>Phase 1 — Client Intake and Daily Work Management</x:v>
      </x:c>
      <x:c r="J13" s="147" t="str">
        <x:v>Foundation for every later phase.</x:v>
      </x:c>
      <x:c r="K13" s="169" t="str">
        <x:v>Keep as proposed</x:v>
      </x:c>
      <x:c r="L13" s="170" t="str">
        <x:v>Pending project review</x:v>
      </x:c>
      <x:c r="M13" s="169" t="str"/>
    </x:row>
    <x:row r="14" ht="64" customHeight="1">
      <x:c r="A14" s="168" t="str">
        <x:v>P1-08</x:v>
      </x:c>
      <x:c r="B14" s="168" t="str">
        <x:v>Phase 1</x:v>
      </x:c>
      <x:c r="C14" s="168" t="str">
        <x:v>Client Intake and Daily Work Management</x:v>
      </x:c>
      <x:c r="D14" s="147" t="str">
        <x:v>See which required details are missing, such as legal names, dates of birth, airports, dates, cabin class, flexibility, or special requests.</x:v>
      </x:c>
      <x:c r="E14" s="147" t="str">
        <x:v>A controlled client-intake process with reusable traveller records, clear ownership, reminders, and role-based access.</x:v>
      </x:c>
      <x:c r="F14" s="147" t="str">
        <x:v>Offshore Intake Employee; Travel Agent</x:v>
      </x:c>
      <x:c r="G14" s="179" t="str">
        <x:v>Must Have</x:v>
      </x:c>
      <x:c r="H14" s="169" t="str">
        <x:v>To Be Confirmed</x:v>
      </x:c>
      <x:c r="I14" s="169" t="str">
        <x:v>Phase 1 — Client Intake and Daily Work Management</x:v>
      </x:c>
      <x:c r="J14" s="147" t="str">
        <x:v>Foundation for every later phase.</x:v>
      </x:c>
      <x:c r="K14" s="169" t="str">
        <x:v>Keep as proposed</x:v>
      </x:c>
      <x:c r="L14" s="170" t="str">
        <x:v>Pending project review</x:v>
      </x:c>
      <x:c r="M14" s="169" t="str"/>
    </x:row>
    <x:row r="15" ht="64" customHeight="1">
      <x:c r="A15" s="168" t="str">
        <x:v>P1-09</x:v>
      </x:c>
      <x:c r="B15" s="168" t="str">
        <x:v>Phase 1</x:v>
      </x:c>
      <x:c r="C15" s="168" t="str">
        <x:v>Client Intake and Daily Work Management</x:v>
      </x:c>
      <x:c r="D15" s="147" t="str">
        <x:v>Use approved, copy-ready WhatsApp messages for onboarding, missing-information questions, booking-fee explanations, and follow-ups.</x:v>
      </x:c>
      <x:c r="E15" s="147" t="str">
        <x:v>A controlled client-intake process with reusable traveller records, clear ownership, reminders, and role-based access.</x:v>
      </x:c>
      <x:c r="F15" s="147" t="str">
        <x:v>Offshore Intake Employee; Travel Agent</x:v>
      </x:c>
      <x:c r="G15" s="179" t="str">
        <x:v>Must Have</x:v>
      </x:c>
      <x:c r="H15" s="169" t="str">
        <x:v>To Be Confirmed</x:v>
      </x:c>
      <x:c r="I15" s="169" t="str">
        <x:v>Phase 1 — Client Intake and Daily Work Management</x:v>
      </x:c>
      <x:c r="J15" s="147" t="str">
        <x:v>Foundation for every later phase.</x:v>
      </x:c>
      <x:c r="K15" s="169" t="str">
        <x:v>Keep as proposed</x:v>
      </x:c>
      <x:c r="L15" s="170" t="str">
        <x:v>Pending project review</x:v>
      </x:c>
      <x:c r="M15" s="169" t="str"/>
    </x:row>
    <x:row r="16" ht="64" customHeight="1">
      <x:c r="A16" s="168" t="str">
        <x:v>P1-10</x:v>
      </x:c>
      <x:c r="B16" s="168" t="str">
        <x:v>Phase 1</x:v>
      </x:c>
      <x:c r="C16" s="168" t="str">
        <x:v>Client Intake and Daily Work Management</x:v>
      </x:c>
      <x:c r="D16" s="147" t="str">
        <x:v>Set a preferred representative and a secondary representative for each client. If neither is available, route the request to another available team member.</x:v>
      </x:c>
      <x:c r="E16" s="147" t="str">
        <x:v>A controlled client-intake process with reusable traveller records, clear ownership, reminders, and role-based access.</x:v>
      </x:c>
      <x:c r="F16" s="147" t="str">
        <x:v>Supervisor / Manager</x:v>
      </x:c>
      <x:c r="G16" s="179" t="str">
        <x:v>Must Have</x:v>
      </x:c>
      <x:c r="H16" s="169" t="str">
        <x:v>To Be Confirmed</x:v>
      </x:c>
      <x:c r="I16" s="169" t="str">
        <x:v>Phase 1 — Client Intake and Daily Work Management</x:v>
      </x:c>
      <x:c r="J16" s="147" t="str">
        <x:v>Foundation for every later phase.</x:v>
      </x:c>
      <x:c r="K16" s="169" t="str">
        <x:v>Keep as proposed</x:v>
      </x:c>
      <x:c r="L16" s="170" t="str">
        <x:v>Pending project review</x:v>
      </x:c>
      <x:c r="M16" s="169" t="str"/>
    </x:row>
    <x:row r="17" ht="64" customHeight="1">
      <x:c r="A17" s="168" t="str">
        <x:v>P1-11</x:v>
      </x:c>
      <x:c r="B17" s="168" t="str">
        <x:v>Phase 1</x:v>
      </x:c>
      <x:c r="C17" s="168" t="str">
        <x:v>Client Intake and Daily Work Management</x:v>
      </x:c>
      <x:c r="D17" s="147" t="str">
        <x:v>Store important notes, documents, and communication history with the correct client and request.</x:v>
      </x:c>
      <x:c r="E17" s="147" t="str">
        <x:v>A controlled client-intake process with reusable traveller records, clear ownership, reminders, and role-based access.</x:v>
      </x:c>
      <x:c r="F17" s="147" t="str">
        <x:v>Offshore Intake Employee; Travel Agent</x:v>
      </x:c>
      <x:c r="G17" s="179" t="str">
        <x:v>Must Have</x:v>
      </x:c>
      <x:c r="H17" s="169" t="str">
        <x:v>To Be Confirmed</x:v>
      </x:c>
      <x:c r="I17" s="169" t="str">
        <x:v>Phase 1 — Client Intake and Daily Work Management</x:v>
      </x:c>
      <x:c r="J17" s="147" t="str">
        <x:v>Foundation for every later phase.</x:v>
      </x:c>
      <x:c r="K17" s="169" t="str">
        <x:v>Keep as proposed</x:v>
      </x:c>
      <x:c r="L17" s="170" t="str">
        <x:v>Pending project review</x:v>
      </x:c>
      <x:c r="M17" s="169" t="str"/>
    </x:row>
    <x:row r="18" ht="64" customHeight="1">
      <x:c r="A18" s="168" t="str">
        <x:v>P1-12</x:v>
      </x:c>
      <x:c r="B18" s="168" t="str">
        <x:v>Phase 1</x:v>
      </x:c>
      <x:c r="C18" s="168" t="str">
        <x:v>Client Intake and Daily Work Management</x:v>
      </x:c>
      <x:c r="D18" s="147" t="str">
        <x:v>Receive reminders for unanswered inquiries, missing information, and the next required action.</x:v>
      </x:c>
      <x:c r="E18" s="147" t="str">
        <x:v>A controlled client-intake process with reusable traveller records, clear ownership, reminders, and role-based access.</x:v>
      </x:c>
      <x:c r="F18" s="147" t="str">
        <x:v>Offshore Intake Employee; Travel Agent</x:v>
      </x:c>
      <x:c r="G18" s="179" t="str">
        <x:v>Must Have</x:v>
      </x:c>
      <x:c r="H18" s="169" t="str">
        <x:v>To Be Confirmed</x:v>
      </x:c>
      <x:c r="I18" s="169" t="str">
        <x:v>Phase 1 — Client Intake and Daily Work Management</x:v>
      </x:c>
      <x:c r="J18" s="147" t="str">
        <x:v>Foundation for every later phase.</x:v>
      </x:c>
      <x:c r="K18" s="169" t="str">
        <x:v>Keep as proposed</x:v>
      </x:c>
      <x:c r="L18" s="170" t="str">
        <x:v>Pending project review</x:v>
      </x:c>
      <x:c r="M18" s="169" t="str"/>
    </x:row>
    <x:row r="19" ht="64" customHeight="1">
      <x:c r="A19" s="168" t="str">
        <x:v>P1-13</x:v>
      </x:c>
      <x:c r="B19" s="168" t="str">
        <x:v>Phase 1</x:v>
      </x:c>
      <x:c r="C19" s="168" t="str">
        <x:v>Client Intake and Daily Work Management</x:v>
      </x:c>
      <x:c r="D19" s="147" t="str">
        <x:v>Create an Offshore Intake Employee role that can create and update clients and travellers, complete onboarding, enter WhatsApp requests, prepare copy-ready replies, and assign requests, without ticketing authority.</x:v>
      </x:c>
      <x:c r="E19" s="147" t="str">
        <x:v>A controlled client-intake process with reusable traveller records, clear ownership, reminders, and role-based access.</x:v>
      </x:c>
      <x:c r="F19" s="147" t="str">
        <x:v>Offshore Intake Employee; Travel Agent</x:v>
      </x:c>
      <x:c r="G19" s="179" t="str">
        <x:v>Must Have</x:v>
      </x:c>
      <x:c r="H19" s="169" t="str">
        <x:v>To Be Confirmed</x:v>
      </x:c>
      <x:c r="I19" s="169" t="str">
        <x:v>Phase 1 — Client Intake and Daily Work Management</x:v>
      </x:c>
      <x:c r="J19" s="147" t="str">
        <x:v>Foundation for every later phase.</x:v>
      </x:c>
      <x:c r="K19" s="169" t="str">
        <x:v>Keep as proposed</x:v>
      </x:c>
      <x:c r="L19" s="170" t="str">
        <x:v>Pending project review</x:v>
      </x:c>
      <x:c r="M19" s="169" t="str"/>
    </x:row>
    <x:row r="20" ht="64" customHeight="1">
      <x:c r="A20" s="168" t="str">
        <x:v>P1-14</x:v>
      </x:c>
      <x:c r="B20" s="168" t="str">
        <x:v>Phase 1</x:v>
      </x:c>
      <x:c r="C20" s="168" t="str">
        <x:v>Client Intake and Daily Work Management</x:v>
      </x:c>
      <x:c r="D20" s="147" t="str">
        <x:v>Create a Travel Agent role that can manage assigned requests, research and prepare options, create reservation holds, communicate with clients, and prepare bookings for ticketing.</x:v>
      </x:c>
      <x:c r="E20" s="147" t="str">
        <x:v>A controlled client-intake process with reusable traveller records, clear ownership, reminders, and role-based access.</x:v>
      </x:c>
      <x:c r="F20" s="147" t="str">
        <x:v>Travel Agent</x:v>
      </x:c>
      <x:c r="G20" s="179" t="str">
        <x:v>Must Have</x:v>
      </x:c>
      <x:c r="H20" s="169" t="str">
        <x:v>To Be Confirmed</x:v>
      </x:c>
      <x:c r="I20" s="169" t="str">
        <x:v>Phase 1 — Client Intake and Daily Work Management</x:v>
      </x:c>
      <x:c r="J20" s="147" t="str">
        <x:v>Foundation for every later phase.</x:v>
      </x:c>
      <x:c r="K20" s="169" t="str">
        <x:v>Keep as proposed</x:v>
      </x:c>
      <x:c r="L20" s="170" t="str">
        <x:v>Pending project review</x:v>
      </x:c>
      <x:c r="M20" s="169" t="str"/>
    </x:row>
    <x:row r="21" ht="64" customHeight="1">
      <x:c r="A21" s="168" t="str">
        <x:v>P1-15</x:v>
      </x:c>
      <x:c r="B21" s="168" t="str">
        <x:v>Phase 1</x:v>
      </x:c>
      <x:c r="C21" s="168" t="str">
        <x:v>Client Intake and Daily Work Management</x:v>
      </x:c>
      <x:c r="D21" s="147" t="str">
        <x:v>Create a Supervisor / Manager role that can monitor workloads, reassign requests, approve exceptions and markups, review reports, and approve permitted sensitive actions.</x:v>
      </x:c>
      <x:c r="E21" s="147" t="str">
        <x:v>A controlled client-intake process with reusable traveller records, clear ownership, reminders, and role-based access.</x:v>
      </x:c>
      <x:c r="F21" s="147" t="str">
        <x:v>Supervisor / Manager</x:v>
      </x:c>
      <x:c r="G21" s="179" t="str">
        <x:v>Must Have</x:v>
      </x:c>
      <x:c r="H21" s="169" t="str">
        <x:v>To Be Confirmed</x:v>
      </x:c>
      <x:c r="I21" s="169" t="str">
        <x:v>Phase 1 — Client Intake and Daily Work Management</x:v>
      </x:c>
      <x:c r="J21" s="147" t="str">
        <x:v>Foundation for every later phase.</x:v>
      </x:c>
      <x:c r="K21" s="169" t="str">
        <x:v>Keep as proposed</x:v>
      </x:c>
      <x:c r="L21" s="170" t="str">
        <x:v>Pending project review</x:v>
      </x:c>
      <x:c r="M21" s="169" t="str"/>
    </x:row>
    <x:row r="22" ht="64" customHeight="1">
      <x:c r="A22" s="168" t="str">
        <x:v>P1-16</x:v>
      </x:c>
      <x:c r="B22" s="168" t="str">
        <x:v>Phase 1</x:v>
      </x:c>
      <x:c r="C22" s="168" t="str">
        <x:v>Client Intake and Daily Work Management</x:v>
      </x:c>
      <x:c r="D22" s="147" t="str">
        <x:v>Create a Ticketing Agent role that can verify passenger, booking, and payment details and perform authorized ticket issuance, reissue, void, exchange, or refund actions.</x:v>
      </x:c>
      <x:c r="E22" s="147" t="str">
        <x:v>A controlled client-intake process with reusable traveller records, clear ownership, reminders, and role-based access.</x:v>
      </x:c>
      <x:c r="F22" s="147" t="str">
        <x:v>Ticketing Agent</x:v>
      </x:c>
      <x:c r="G22" s="179" t="str">
        <x:v>Must Have</x:v>
      </x:c>
      <x:c r="H22" s="169" t="str">
        <x:v>To Be Confirmed</x:v>
      </x:c>
      <x:c r="I22" s="169" t="str">
        <x:v>Phase 1 — Client Intake and Daily Work Management</x:v>
      </x:c>
      <x:c r="J22" s="147" t="str">
        <x:v>Foundation for every later phase.</x:v>
      </x:c>
      <x:c r="K22" s="169" t="str">
        <x:v>Keep as proposed</x:v>
      </x:c>
      <x:c r="L22" s="170" t="str">
        <x:v>Pending project review</x:v>
      </x:c>
      <x:c r="M22" s="169" t="str"/>
    </x:row>
    <x:row r="23" ht="64" customHeight="1">
      <x:c r="A23" s="168" t="str">
        <x:v>P1-17</x:v>
      </x:c>
      <x:c r="B23" s="168" t="str">
        <x:v>Phase 1</x:v>
      </x:c>
      <x:c r="C23" s="168" t="str">
        <x:v>Client Intake and Daily Work Management</x:v>
      </x:c>
      <x:c r="D23" s="147" t="str">
        <x:v>Create a Finance User role that can manage invoices, payments, credits, refunds, and reconciliation without changing ticket operations unless separately authorized.</x:v>
      </x:c>
      <x:c r="E23" s="147" t="str">
        <x:v>A controlled client-intake process with reusable traveller records, clear ownership, reminders, and role-based access.</x:v>
      </x:c>
      <x:c r="F23" s="147" t="str">
        <x:v>Finance User</x:v>
      </x:c>
      <x:c r="G23" s="179" t="str">
        <x:v>Must Have</x:v>
      </x:c>
      <x:c r="H23" s="169" t="str">
        <x:v>To Be Confirmed</x:v>
      </x:c>
      <x:c r="I23" s="169" t="str">
        <x:v>Phase 1 — Client Intake and Daily Work Management</x:v>
      </x:c>
      <x:c r="J23" s="147" t="str">
        <x:v>Foundation for every later phase.</x:v>
      </x:c>
      <x:c r="K23" s="169" t="str">
        <x:v>Keep as proposed</x:v>
      </x:c>
      <x:c r="L23" s="170" t="str">
        <x:v>Pending project review</x:v>
      </x:c>
      <x:c r="M23" s="169" t="str"/>
    </x:row>
    <x:row r="24" ht="64" customHeight="1">
      <x:c r="A24" s="168" t="str">
        <x:v>P1-18</x:v>
      </x:c>
      <x:c r="B24" s="168" t="str">
        <x:v>Phase 1</x:v>
      </x:c>
      <x:c r="C24" s="168" t="str">
        <x:v>Client Intake and Daily Work Management</x:v>
      </x:c>
      <x:c r="D24" s="147" t="str">
        <x:v>Create a System Administrator role that can create users, assign roles and permissions, manage settings and integrations, and review access history without automatically receiving finance or ticketing authority.</x:v>
      </x:c>
      <x:c r="E24" s="147" t="str">
        <x:v>A controlled client-intake process with reusable traveller records, clear ownership, reminders, and role-based access.</x:v>
      </x:c>
      <x:c r="F24" s="147" t="str">
        <x:v>System Administrator</x:v>
      </x:c>
      <x:c r="G24" s="179" t="str">
        <x:v>Must Have</x:v>
      </x:c>
      <x:c r="H24" s="169" t="str">
        <x:v>To Be Confirmed</x:v>
      </x:c>
      <x:c r="I24" s="169" t="str">
        <x:v>Phase 1 — Client Intake and Daily Work Management</x:v>
      </x:c>
      <x:c r="J24" s="147" t="str">
        <x:v>Foundation for every later phase.</x:v>
      </x:c>
      <x:c r="K24" s="169" t="str">
        <x:v>Keep as proposed</x:v>
      </x:c>
      <x:c r="L24" s="170" t="str">
        <x:v>Pending project review</x:v>
      </x:c>
      <x:c r="M24" s="169" t="str"/>
    </x:row>
    <x:row r="25" ht="64" customHeight="1">
      <x:c r="A25" s="168" t="str">
        <x:v>P1-19</x:v>
      </x:c>
      <x:c r="B25" s="168" t="str">
        <x:v>Phase 1</x:v>
      </x:c>
      <x:c r="C25" s="168" t="str">
        <x:v>Client Intake and Daily Work Management</x:v>
      </x:c>
      <x:c r="D25" s="147" t="str">
        <x:v>Allow each staff member to see and perform only the actions permitted by their assigned role or roles.</x:v>
      </x:c>
      <x:c r="E25" s="147" t="str">
        <x:v>A controlled client-intake process with reusable traveller records, clear ownership, reminders, and role-based access.</x:v>
      </x:c>
      <x:c r="F25" s="147" t="str">
        <x:v>System Administrator</x:v>
      </x:c>
      <x:c r="G25" s="179" t="str">
        <x:v>Must Have</x:v>
      </x:c>
      <x:c r="H25" s="169" t="str">
        <x:v>To Be Confirmed</x:v>
      </x:c>
      <x:c r="I25" s="169" t="str">
        <x:v>Phase 1 — Client Intake and Daily Work Management</x:v>
      </x:c>
      <x:c r="J25" s="147" t="str">
        <x:v>Foundation for every later phase.</x:v>
      </x:c>
      <x:c r="K25" s="169" t="str">
        <x:v>Keep as proposed</x:v>
      </x:c>
      <x:c r="L25" s="170" t="str">
        <x:v>Pending project review</x:v>
      </x:c>
      <x:c r="M25" s="169" t="str"/>
    </x:row>
    <x:row r="26" ht="64" customHeight="1">
      <x:c r="A26" s="168" t="str">
        <x:v>P1-20</x:v>
      </x:c>
      <x:c r="B26" s="168" t="str">
        <x:v>Phase 1</x:v>
      </x:c>
      <x:c r="C26" s="168" t="str">
        <x:v>Client Intake and Daily Work Management</x:v>
      </x:c>
      <x:c r="D26" s="147" t="str">
        <x:v>Allow one employee to hold more than one role when required, while assigning high-risk permissions explicitly.</x:v>
      </x:c>
      <x:c r="E26" s="147" t="str">
        <x:v>A controlled client-intake process with reusable traveller records, clear ownership, reminders, and role-based access.</x:v>
      </x:c>
      <x:c r="F26" s="147" t="str">
        <x:v>System Administrator</x:v>
      </x:c>
      <x:c r="G26" s="179" t="str">
        <x:v>Must Have</x:v>
      </x:c>
      <x:c r="H26" s="169" t="str">
        <x:v>To Be Confirmed</x:v>
      </x:c>
      <x:c r="I26" s="169" t="str">
        <x:v>Phase 1 — Client Intake and Daily Work Management</x:v>
      </x:c>
      <x:c r="J26" s="147" t="str">
        <x:v>Foundation for every later phase.</x:v>
      </x:c>
      <x:c r="K26" s="169" t="str">
        <x:v>Keep as proposed</x:v>
      </x:c>
      <x:c r="L26" s="170" t="str">
        <x:v>Pending project review</x:v>
      </x:c>
      <x:c r="M26" s="169" t="str"/>
    </x:row>
    <x:row r="27" ht="64" customHeight="1">
      <x:c r="A27" s="180" t="str">
        <x:v>P1-21</x:v>
      </x:c>
      <x:c r="B27" s="180" t="str">
        <x:v>Phase 1</x:v>
      </x:c>
      <x:c r="C27" s="180" t="str">
        <x:v>Client Intake and Daily Work Management</x:v>
      </x:c>
      <x:c r="D27" s="181" t="str">
        <x:v>See all open client requests and their current status in one place.</x:v>
      </x:c>
      <x:c r="E27" s="181" t="str">
        <x:v>A controlled client-intake process with reusable traveller records, clear ownership, reminders, and role-based access.</x:v>
      </x:c>
      <x:c r="F27" s="181" t="str">
        <x:v>Offshore Intake Employee; Travel Agent</x:v>
      </x:c>
      <x:c r="G27" s="182" t="str">
        <x:v>Must Have</x:v>
      </x:c>
      <x:c r="H27" s="183" t="str">
        <x:v>To Be Confirmed</x:v>
      </x:c>
      <x:c r="I27" s="183" t="str">
        <x:v>Phase 1 — Client Intake and Daily Work Management</x:v>
      </x:c>
      <x:c r="J27" s="181" t="str">
        <x:v>Foundation for every later phase.</x:v>
      </x:c>
      <x:c r="K27" s="183" t="str">
        <x:v>Keep as proposed</x:v>
      </x:c>
      <x:c r="L27" s="184" t="str">
        <x:v>Pending project review</x:v>
      </x:c>
      <x:c r="M27" s="183" t="str"/>
    </x:row>
  </x:sheetData>
  <x:mergeCells>
    <x:mergeCell ref="A1:M1"/>
    <x:mergeCell ref="A2:M2"/>
    <x:mergeCell ref="A3:M3"/>
    <x:mergeCell ref="E5:M5"/>
  </x:mergeCells>
  <x:conditionalFormatting sqref="H7:H27">
    <x:cfRule type="containsText" dxfId="0" priority="1" operator="containsText" text="Must Have"/>
    <x:cfRule type="containsText" dxfId="1" priority="2" operator="containsText" text="High"/>
    <x:cfRule type="containsText" dxfId="2" priority="3" operator="containsText" text="Medium"/>
    <x:cfRule type="containsText" dxfId="3" priority="4" operator="containsText" text="Low"/>
    <x:cfRule type="containsText" dxfId="4" priority="5" operator="containsText" text="Future"/>
    <x:cfRule type="containsText" dxfId="5" priority="6" operator="containsText" text="Remove"/>
  </x:conditionalFormatting>
  <x:conditionalFormatting sqref="K7:K27">
    <x:cfRule type="containsText" dxfId="6" priority="7" operator="containsText" text="Move"/>
    <x:cfRule type="containsText" dxfId="7" priority="8" operator="containsText" text="Remove"/>
    <x:cfRule type="containsText" dxfId="8" priority="9" operator="containsText" text="Needs discussion"/>
    <x:cfRule type="containsText" dxfId="9" priority="10" operator="containsText" text="Keep"/>
  </x:conditionalFormatting>
  <x:dataValidations count="4">
    <x:dataValidation type="list" sqref="H7:H27">
      <x:formula1>"Must Have,High,Medium,Low,Future,Remove,To Be Confirmed"</x:formula1>
    </x:dataValidation>
    <x:dataValidation type="list" sqref="I7:I27">
      <x:formula1>"Phase 1 — Client Intake and Daily Work Management,Phase 2 — Flight Research, Quotes, Payment, and Booking,Phase 3 — Sabre Connection and Ticketing,Phase 4 — Active Trip Support,Phase 5 — Changes, Cancellations, Exchanges, and Refunds,Phase 6 — Finance, Hotels, and Supporting Services,Phase 7 — Fare Optimization and Assisted Recommendations,Phase 8 — Client Self-Service and Management Visibility"</x:formula1>
    </x:dataValidation>
    <x:dataValidation type="list" sqref="K7:K27">
      <x:formula1>"Keep as proposed,Move to requested phase,Defer,Remove,Needs discussion"</x:formula1>
    </x:dataValidation>
    <x:dataValidation type="list" sqref="L7:L27">
      <x:formula1>"Pending project review,Can move freely,Can move with dependencies,Should not move earlier"</x:formula1>
    </x:dataValidation>
  </x:dataValidations>
  <x:pageMargins left="0.7" right="0.7" top="0.75" bottom="0.75" header="0.3" footer="0.3"/>
  <x:legacyDrawing xmlns:r="http://schemas.openxmlformats.org/officeDocument/2006/relationships" r:id="Rd99060e786d643fa"/>
  <x:tableParts count="1">
    <x:tablePart xmlns:r="http://schemas.openxmlformats.org/officeDocument/2006/relationships" r:id="R6345de7e65e04dc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34" hidden="0" customWidth="1"/>
    <x:col min="4" max="4" width="62" hidden="0" customWidth="1"/>
    <x:col min="5" max="5" width="44" hidden="0" customWidth="1"/>
    <x:col min="6" max="6" width="30" hidden="0" customWidth="1"/>
    <x:col min="7" max="7" width="20" hidden="0" customWidth="1"/>
    <x:col min="8" max="8" width="20" hidden="0" customWidth="1"/>
    <x:col min="9" max="9" width="42" hidden="0" customWidth="1"/>
    <x:col min="10" max="10" width="46" hidden="0" customWidth="1"/>
    <x:col min="11" max="11" width="24" hidden="0" customWidth="1"/>
    <x:col min="12" max="12" width="28" hidden="0" customWidth="1"/>
    <x:col min="13" max="13" width="42" hidden="0" customWidth="1"/>
  </x:cols>
  <x:sheetData>
    <x:row r="1" ht="32" customHeight="1">
      <x:c r="A1" s="131" t="str">
        <x:v>Phase 2 — Flight Research, Quotes, Payment, and Booking</x:v>
      </x:c>
      <x:c r="B1" s="131"/>
      <x:c r="C1" s="131"/>
      <x:c r="D1" s="131"/>
      <x:c r="E1" s="131"/>
      <x:c r="F1" s="131"/>
      <x:c r="G1" s="131"/>
      <x:c r="H1" s="131"/>
      <x:c r="I1" s="131"/>
      <x:c r="J1" s="131"/>
      <x:c r="K1" s="131"/>
      <x:c r="L1" s="131"/>
      <x:c r="M1" s="131"/>
    </x:row>
    <x:row r="2" ht="34" customHeight="1">
      <x:c r="A2" s="132" t="str">
        <x:v>A complete, traceable workflow from travel request through quotation, client decision, payment confirmation, and handoff to ticketing.</x:v>
      </x:c>
      <x:c r="B2" s="132"/>
      <x:c r="C2" s="132"/>
      <x:c r="D2" s="132"/>
      <x:c r="E2" s="132"/>
      <x:c r="F2" s="132"/>
      <x:c r="G2" s="132"/>
      <x:c r="H2" s="132"/>
      <x:c r="I2" s="132"/>
      <x:c r="J2" s="132"/>
      <x:c r="K2" s="132"/>
      <x:c r="L2" s="132"/>
      <x:c r="M2" s="132"/>
    </x:row>
    <x:row r="3" ht="34" customHeight="1">
      <x:c r="A3" s="164" t="str">
        <x:v>Review each deliverable below. Use the yellow columns to set the client priority, request another phase, record a decision, or add comments. Phase changes remain subject to dependency review.</x:v>
      </x:c>
      <x:c r="B3" s="164"/>
      <x:c r="C3" s="164"/>
      <x:c r="D3" s="164"/>
      <x:c r="E3" s="164"/>
      <x:c r="F3" s="164"/>
      <x:c r="G3" s="164"/>
      <x:c r="H3" s="164"/>
      <x:c r="I3" s="164"/>
      <x:c r="J3" s="164"/>
      <x:c r="K3" s="164"/>
      <x:c r="L3" s="164"/>
      <x:c r="M3" s="164"/>
    </x:row>
    <x:row r="4">
      <x:c r="A4" s="133"/>
      <x:c r="B4" s="133"/>
      <x:c r="C4" s="133"/>
      <x:c r="D4" s="133"/>
      <x:c r="E4" s="133"/>
      <x:c r="F4" s="133"/>
      <x:c r="G4" s="133"/>
      <x:c r="H4" s="133"/>
      <x:c r="I4" s="133"/>
      <x:c r="J4" s="133"/>
      <x:c r="K4" s="133"/>
      <x:c r="L4" s="133"/>
      <x:c r="M4" s="133"/>
    </x:row>
    <x:row r="5">
      <x:c r="A5" s="174" t="str">
        <x:v>Original phase</x:v>
      </x:c>
      <x:c r="B5" s="175" t="str">
        <x:v>Phase 2 — Flight Research, Quotes, Payment, and Booking</x:v>
      </x:c>
      <x:c r="C5" s="175"/>
      <x:c r="D5" s="176" t="str">
        <x:v>Recommended sequence</x:v>
      </x:c>
      <x:c r="E5" s="175" t="str">
        <x:v>Requires the client, traveller, ownership, and permission foundation from Phase 1.</x:v>
      </x:c>
      <x:c r="F5" s="175"/>
      <x:c r="G5" s="175"/>
      <x:c r="H5" s="175"/>
      <x:c r="I5" s="175"/>
      <x:c r="J5" s="175"/>
      <x:c r="K5" s="175"/>
      <x:c r="L5" s="175"/>
      <x:c r="M5" s="177"/>
    </x:row>
    <x:row r="6" ht="32" customHeight="1">
      <x:c r="A6" s="142" t="str">
        <x:v>Item ID</x:v>
      </x:c>
      <x:c r="B6" s="143" t="str">
        <x:v>Current Phase</x:v>
      </x:c>
      <x:c r="C6" s="143" t="str">
        <x:v>Phase Name</x:v>
      </x:c>
      <x:c r="D6" s="143" t="str">
        <x:v>What users will be able to do</x:v>
      </x:c>
      <x:c r="E6" s="143" t="str">
        <x:v>Expected outcome</x:v>
      </x:c>
      <x:c r="F6" s="143" t="str">
        <x:v>Primary role(s)</x:v>
      </x:c>
      <x:c r="G6" s="143" t="str">
        <x:v>Recommended priority</x:v>
      </x:c>
      <x:c r="H6" s="143" t="str">
        <x:v>Client priority</x:v>
      </x:c>
      <x:c r="I6" s="143" t="str">
        <x:v>Requested phase</x:v>
      </x:c>
      <x:c r="J6" s="143" t="str">
        <x:v>Dependency / sequencing note</x:v>
      </x:c>
      <x:c r="K6" s="143" t="str">
        <x:v>Client decision</x:v>
      </x:c>
      <x:c r="L6" s="143" t="str">
        <x:v>Project team review</x:v>
      </x:c>
      <x:c r="M6" s="144" t="str">
        <x:v>Client comments</x:v>
      </x:c>
    </x:row>
    <x:row r="7" ht="64" customHeight="1">
      <x:c r="A7" s="165" t="str">
        <x:v>P2-01</x:v>
      </x:c>
      <x:c r="B7" s="165" t="str">
        <x:v>Phase 2</x:v>
      </x:c>
      <x:c r="C7" s="165" t="str">
        <x:v>Flight Research, Quotes, Payment, and Booking</x:v>
      </x:c>
      <x:c r="D7" s="145" t="str">
        <x:v>Create a travel request for one or more saved travellers.</x:v>
      </x:c>
      <x:c r="E7" s="145" t="str">
        <x:v>A complete, traceable workflow from travel request through quotation, client decision, payment confirmation, and handoff to ticketing.</x:v>
      </x:c>
      <x:c r="F7" s="145" t="str">
        <x:v>Travel Agent</x:v>
      </x:c>
      <x:c r="G7" s="178" t="str">
        <x:v>Must Have</x:v>
      </x:c>
      <x:c r="H7" s="166" t="str">
        <x:v>To Be Confirmed</x:v>
      </x:c>
      <x:c r="I7" s="166" t="str">
        <x:v>Phase 2 — Flight Research, Quotes, Payment, and Booking</x:v>
      </x:c>
      <x:c r="J7" s="145" t="str">
        <x:v>Requires the client, traveller, ownership, and permission foundation from Phase 1.</x:v>
      </x:c>
      <x:c r="K7" s="166" t="str">
        <x:v>Keep as proposed</x:v>
      </x:c>
      <x:c r="L7" s="167" t="str">
        <x:v>Pending project review</x:v>
      </x:c>
      <x:c r="M7" s="166" t="str"/>
    </x:row>
    <x:row r="8" ht="64" customHeight="1">
      <x:c r="A8" s="168" t="str">
        <x:v>P2-02</x:v>
      </x:c>
      <x:c r="B8" s="168" t="str">
        <x:v>Phase 2</x:v>
      </x:c>
      <x:c r="C8" s="168" t="str">
        <x:v>Flight Research, Quotes, Payment, and Booking</x:v>
      </x:c>
      <x:c r="D8" s="147" t="str">
        <x:v>Record the departure airport, destination, travel dates, cabin class, date flexibility, airline preferences, and special requests.</x:v>
      </x:c>
      <x:c r="E8" s="147" t="str">
        <x:v>A complete, traceable workflow from travel request through quotation, client decision, payment confirmation, and handoff to ticketing.</x:v>
      </x:c>
      <x:c r="F8" s="147" t="str">
        <x:v>Travel Agent</x:v>
      </x:c>
      <x:c r="G8" s="179" t="str">
        <x:v>Must Have</x:v>
      </x:c>
      <x:c r="H8" s="169" t="str">
        <x:v>To Be Confirmed</x:v>
      </x:c>
      <x:c r="I8" s="169" t="str">
        <x:v>Phase 2 — Flight Research, Quotes, Payment, and Booking</x:v>
      </x:c>
      <x:c r="J8" s="147" t="str">
        <x:v>Requires the client, traveller, ownership, and permission foundation from Phase 1.</x:v>
      </x:c>
      <x:c r="K8" s="169" t="str">
        <x:v>Keep as proposed</x:v>
      </x:c>
      <x:c r="L8" s="170" t="str">
        <x:v>Pending project review</x:v>
      </x:c>
      <x:c r="M8" s="169" t="str"/>
    </x:row>
    <x:row r="9" ht="64" customHeight="1">
      <x:c r="A9" s="168" t="str">
        <x:v>P2-03</x:v>
      </x:c>
      <x:c r="B9" s="168" t="str">
        <x:v>Phase 2</x:v>
      </x:c>
      <x:c r="C9" s="168" t="str">
        <x:v>Flight Research, Quotes, Payment, and Booking</x:v>
      </x:c>
      <x:c r="D9" s="147" t="str">
        <x:v>Use the WhatsApp-to-Chat assistant after the core Phase 1 workflow is stable.</x:v>
      </x:c>
      <x:c r="E9" s="147" t="str">
        <x:v>A complete, traceable workflow from travel request through quotation, client decision, payment confirmation, and handoff to ticketing.</x:v>
      </x:c>
      <x:c r="F9" s="147" t="str">
        <x:v>Travel Agent</x:v>
      </x:c>
      <x:c r="G9" s="179" t="str">
        <x:v>High</x:v>
      </x:c>
      <x:c r="H9" s="169" t="str">
        <x:v>To Be Confirmed</x:v>
      </x:c>
      <x:c r="I9" s="169" t="str">
        <x:v>Phase 2 — Flight Research, Quotes, Payment, and Booking</x:v>
      </x:c>
      <x:c r="J9" s="147" t="str">
        <x:v>Requires the client, traveller, ownership, and permission foundation from Phase 1.</x:v>
      </x:c>
      <x:c r="K9" s="169" t="str">
        <x:v>Keep as proposed</x:v>
      </x:c>
      <x:c r="L9" s="170" t="str">
        <x:v>Pending project review</x:v>
      </x:c>
      <x:c r="M9" s="169" t="str"/>
    </x:row>
    <x:row r="10" ht="64" customHeight="1">
      <x:c r="A10" s="168" t="str">
        <x:v>P2-04</x:v>
      </x:c>
      <x:c r="B10" s="168" t="str">
        <x:v>Phase 2</x:v>
      </x:c>
      <x:c r="C10" s="168" t="str">
        <x:v>Flight Research, Quotes, Payment, and Booking</x:v>
      </x:c>
      <x:c r="D10" s="147" t="str">
        <x:v>Paste a client’s WhatsApp message into the assistant.</x:v>
      </x:c>
      <x:c r="E10" s="147" t="str">
        <x:v>A complete, traceable workflow from travel request through quotation, client decision, payment confirmation, and handoff to ticketing.</x:v>
      </x:c>
      <x:c r="F10" s="147" t="str">
        <x:v>Travel Agent</x:v>
      </x:c>
      <x:c r="G10" s="179" t="str">
        <x:v>Must Have</x:v>
      </x:c>
      <x:c r="H10" s="169" t="str">
        <x:v>To Be Confirmed</x:v>
      </x:c>
      <x:c r="I10" s="169" t="str">
        <x:v>Phase 2 — Flight Research, Quotes, Payment, and Booking</x:v>
      </x:c>
      <x:c r="J10" s="147" t="str">
        <x:v>Requires the client, traveller, ownership, and permission foundation from Phase 1.</x:v>
      </x:c>
      <x:c r="K10" s="169" t="str">
        <x:v>Keep as proposed</x:v>
      </x:c>
      <x:c r="L10" s="170" t="str">
        <x:v>Pending project review</x:v>
      </x:c>
      <x:c r="M10" s="169" t="str"/>
    </x:row>
    <x:row r="11" ht="64" customHeight="1">
      <x:c r="A11" s="168" t="str">
        <x:v>P2-05</x:v>
      </x:c>
      <x:c r="B11" s="168" t="str">
        <x:v>Phase 2</x:v>
      </x:c>
      <x:c r="C11" s="168" t="str">
        <x:v>Flight Research, Quotes, Payment, and Booking</x:v>
      </x:c>
      <x:c r="D11" s="147" t="str">
        <x:v>Ask the assistant to create a draft client, traveller, and travel request from the message.</x:v>
      </x:c>
      <x:c r="E11" s="147" t="str">
        <x:v>A complete, traceable workflow from travel request through quotation, client decision, payment confirmation, and handoff to ticketing.</x:v>
      </x:c>
      <x:c r="F11" s="147" t="str">
        <x:v>Travel Agent</x:v>
      </x:c>
      <x:c r="G11" s="179" t="str">
        <x:v>Must Have</x:v>
      </x:c>
      <x:c r="H11" s="169" t="str">
        <x:v>To Be Confirmed</x:v>
      </x:c>
      <x:c r="I11" s="169" t="str">
        <x:v>Phase 2 — Flight Research, Quotes, Payment, and Booking</x:v>
      </x:c>
      <x:c r="J11" s="147" t="str">
        <x:v>Requires the client, traveller, ownership, and permission foundation from Phase 1.</x:v>
      </x:c>
      <x:c r="K11" s="169" t="str">
        <x:v>Keep as proposed</x:v>
      </x:c>
      <x:c r="L11" s="170" t="str">
        <x:v>Pending project review</x:v>
      </x:c>
      <x:c r="M11" s="169" t="str"/>
    </x:row>
    <x:row r="12" ht="64" customHeight="1">
      <x:c r="A12" s="168" t="str">
        <x:v>P2-06</x:v>
      </x:c>
      <x:c r="B12" s="168" t="str">
        <x:v>Phase 2</x:v>
      </x:c>
      <x:c r="C12" s="168" t="str">
        <x:v>Flight Research, Quotes, Payment, and Booking</x:v>
      </x:c>
      <x:c r="D12" s="147" t="str">
        <x:v>Review and correct the draft before saving it.</x:v>
      </x:c>
      <x:c r="E12" s="147" t="str">
        <x:v>A complete, traceable workflow from travel request through quotation, client decision, payment confirmation, and handoff to ticketing.</x:v>
      </x:c>
      <x:c r="F12" s="147" t="str">
        <x:v>Travel Agent</x:v>
      </x:c>
      <x:c r="G12" s="179" t="str">
        <x:v>Must Have</x:v>
      </x:c>
      <x:c r="H12" s="169" t="str">
        <x:v>To Be Confirmed</x:v>
      </x:c>
      <x:c r="I12" s="169" t="str">
        <x:v>Phase 2 — Flight Research, Quotes, Payment, and Booking</x:v>
      </x:c>
      <x:c r="J12" s="147" t="str">
        <x:v>Requires the client, traveller, ownership, and permission foundation from Phase 1.</x:v>
      </x:c>
      <x:c r="K12" s="169" t="str">
        <x:v>Keep as proposed</x:v>
      </x:c>
      <x:c r="L12" s="170" t="str">
        <x:v>Pending project review</x:v>
      </x:c>
      <x:c r="M12" s="169" t="str"/>
    </x:row>
    <x:row r="13" ht="64" customHeight="1">
      <x:c r="A13" s="168" t="str">
        <x:v>P2-07</x:v>
      </x:c>
      <x:c r="B13" s="168" t="str">
        <x:v>Phase 2</x:v>
      </x:c>
      <x:c r="C13" s="168" t="str">
        <x:v>Flight Research, Quotes, Payment, and Booking</x:v>
      </x:c>
      <x:c r="D13" s="147" t="str">
        <x:v>Review Google Flights manually during initial market research; live availability will be retrieved through Sabre after the Phase 3 connection is available.</x:v>
      </x:c>
      <x:c r="E13" s="147" t="str">
        <x:v>A complete, traceable workflow from travel request through quotation, client decision, payment confirmation, and handoff to ticketing.</x:v>
      </x:c>
      <x:c r="F13" s="147" t="str">
        <x:v>Travel Agent</x:v>
      </x:c>
      <x:c r="G13" s="179" t="str">
        <x:v>Must Have</x:v>
      </x:c>
      <x:c r="H13" s="169" t="str">
        <x:v>To Be Confirmed</x:v>
      </x:c>
      <x:c r="I13" s="169" t="str">
        <x:v>Phase 2 — Flight Research, Quotes, Payment, and Booking</x:v>
      </x:c>
      <x:c r="J13" s="147" t="str">
        <x:v>Requires the client, traveller, ownership, and permission foundation from Phase 1.</x:v>
      </x:c>
      <x:c r="K13" s="169" t="str">
        <x:v>Keep as proposed</x:v>
      </x:c>
      <x:c r="L13" s="170" t="str">
        <x:v>Pending project review</x:v>
      </x:c>
      <x:c r="M13" s="169" t="str"/>
    </x:row>
    <x:row r="14" ht="64" customHeight="1">
      <x:c r="A14" s="168" t="str">
        <x:v>P2-08</x:v>
      </x:c>
      <x:c r="B14" s="168" t="str">
        <x:v>Phase 2</x:v>
      </x:c>
      <x:c r="C14" s="168" t="str">
        <x:v>Flight Research, Quotes, Payment, and Booking</x:v>
      </x:c>
      <x:c r="D14" s="147" t="str">
        <x:v>Record and clearly identify the price that was verified in Sabre before it is quoted to the client.</x:v>
      </x:c>
      <x:c r="E14" s="147" t="str">
        <x:v>A complete, traceable workflow from travel request through quotation, client decision, payment confirmation, and handoff to ticketing.</x:v>
      </x:c>
      <x:c r="F14" s="147" t="str">
        <x:v>Travel Agent</x:v>
      </x:c>
      <x:c r="G14" s="179" t="str">
        <x:v>Must Have</x:v>
      </x:c>
      <x:c r="H14" s="169" t="str">
        <x:v>To Be Confirmed</x:v>
      </x:c>
      <x:c r="I14" s="169" t="str">
        <x:v>Phase 2 — Flight Research, Quotes, Payment, and Booking</x:v>
      </x:c>
      <x:c r="J14" s="147" t="str">
        <x:v>Requires the client, traveller, ownership, and permission foundation from Phase 1.</x:v>
      </x:c>
      <x:c r="K14" s="169" t="str">
        <x:v>Keep as proposed</x:v>
      </x:c>
      <x:c r="L14" s="170" t="str">
        <x:v>Pending project review</x:v>
      </x:c>
      <x:c r="M14" s="169" t="str"/>
    </x:row>
    <x:row r="15" ht="64" customHeight="1">
      <x:c r="A15" s="168" t="str">
        <x:v>P2-09</x:v>
      </x:c>
      <x:c r="B15" s="168" t="str">
        <x:v>Phase 2</x:v>
      </x:c>
      <x:c r="C15" s="168" t="str">
        <x:v>Flight Research, Quotes, Payment, and Booking</x:v>
      </x:c>
      <x:c r="D15" s="147" t="str">
        <x:v>Apply the correct Israel and EL AL rules when the trip includes travel to or from Israel.</x:v>
      </x:c>
      <x:c r="E15" s="147" t="str">
        <x:v>A complete, traceable workflow from travel request through quotation, client decision, payment confirmation, and handoff to ticketing.</x:v>
      </x:c>
      <x:c r="F15" s="147" t="str">
        <x:v>Travel Agent</x:v>
      </x:c>
      <x:c r="G15" s="179" t="str">
        <x:v>Must Have</x:v>
      </x:c>
      <x:c r="H15" s="169" t="str">
        <x:v>To Be Confirmed</x:v>
      </x:c>
      <x:c r="I15" s="169" t="str">
        <x:v>Phase 2 — Flight Research, Quotes, Payment, and Booking</x:v>
      </x:c>
      <x:c r="J15" s="147" t="str">
        <x:v>Requires the client, traveller, ownership, and permission foundation from Phase 1.</x:v>
      </x:c>
      <x:c r="K15" s="169" t="str">
        <x:v>Keep as proposed</x:v>
      </x:c>
      <x:c r="L15" s="170" t="str">
        <x:v>Pending project review</x:v>
      </x:c>
      <x:c r="M15" s="169" t="str"/>
    </x:row>
    <x:row r="16" ht="64" customHeight="1">
      <x:c r="A16" s="168" t="str">
        <x:v>P2-10</x:v>
      </x:c>
      <x:c r="B16" s="168" t="str">
        <x:v>Phase 2</x:v>
      </x:c>
      <x:c r="C16" s="168" t="str">
        <x:v>Flight Research, Quotes, Payment, and Booking</x:v>
      </x:c>
      <x:c r="D16" s="147" t="str">
        <x:v>Create a reservation hold when available and record its ticketing deadline.</x:v>
      </x:c>
      <x:c r="E16" s="147" t="str">
        <x:v>A complete, traceable workflow from travel request through quotation, client decision, payment confirmation, and handoff to ticketing.</x:v>
      </x:c>
      <x:c r="F16" s="147" t="str">
        <x:v>Travel Agent; Ticketing Agent</x:v>
      </x:c>
      <x:c r="G16" s="179" t="str">
        <x:v>Must Have</x:v>
      </x:c>
      <x:c r="H16" s="169" t="str">
        <x:v>To Be Confirmed</x:v>
      </x:c>
      <x:c r="I16" s="169" t="str">
        <x:v>Phase 2 — Flight Research, Quotes, Payment, and Booking</x:v>
      </x:c>
      <x:c r="J16" s="147" t="str">
        <x:v>Requires the client, traveller, ownership, and permission foundation from Phase 1.</x:v>
      </x:c>
      <x:c r="K16" s="169" t="str">
        <x:v>Keep as proposed</x:v>
      </x:c>
      <x:c r="L16" s="170" t="str">
        <x:v>Pending project review</x:v>
      </x:c>
      <x:c r="M16" s="169" t="str"/>
    </x:row>
    <x:row r="17" ht="64" customHeight="1">
      <x:c r="A17" s="168" t="str">
        <x:v>P2-11</x:v>
      </x:c>
      <x:c r="B17" s="168" t="str">
        <x:v>Phase 2</x:v>
      </x:c>
      <x:c r="C17" s="168" t="str">
        <x:v>Flight Research, Quotes, Payment, and Booking</x:v>
      </x:c>
      <x:c r="D17" s="147" t="str">
        <x:v>Receive reminders before a held reservation expires.</x:v>
      </x:c>
      <x:c r="E17" s="147" t="str">
        <x:v>A complete, traceable workflow from travel request through quotation, client decision, payment confirmation, and handoff to ticketing.</x:v>
      </x:c>
      <x:c r="F17" s="147" t="str">
        <x:v>Travel Agent</x:v>
      </x:c>
      <x:c r="G17" s="179" t="str">
        <x:v>Must Have</x:v>
      </x:c>
      <x:c r="H17" s="169" t="str">
        <x:v>To Be Confirmed</x:v>
      </x:c>
      <x:c r="I17" s="169" t="str">
        <x:v>Phase 2 — Flight Research, Quotes, Payment, and Booking</x:v>
      </x:c>
      <x:c r="J17" s="147" t="str">
        <x:v>Requires the client, traveller, ownership, and permission foundation from Phase 1.</x:v>
      </x:c>
      <x:c r="K17" s="169" t="str">
        <x:v>Keep as proposed</x:v>
      </x:c>
      <x:c r="L17" s="170" t="str">
        <x:v>Pending project review</x:v>
      </x:c>
      <x:c r="M17" s="169" t="str"/>
    </x:row>
    <x:row r="18" ht="64" customHeight="1">
      <x:c r="A18" s="168" t="str">
        <x:v>P2-12</x:v>
      </x:c>
      <x:c r="B18" s="168" t="str">
        <x:v>Phase 2</x:v>
      </x:c>
      <x:c r="C18" s="168" t="str">
        <x:v>Flight Research, Quotes, Payment, and Booking</x:v>
      </x:c>
      <x:c r="D18" s="147" t="str">
        <x:v>Prepare a clear flight proposal with itinerary, total price, booking fee, restrictions, and expiration time.</x:v>
      </x:c>
      <x:c r="E18" s="147" t="str">
        <x:v>A complete, traceable workflow from travel request through quotation, client decision, payment confirmation, and handoff to ticketing.</x:v>
      </x:c>
      <x:c r="F18" s="147" t="str">
        <x:v>Travel Agent</x:v>
      </x:c>
      <x:c r="G18" s="179" t="str">
        <x:v>Must Have</x:v>
      </x:c>
      <x:c r="H18" s="169" t="str">
        <x:v>To Be Confirmed</x:v>
      </x:c>
      <x:c r="I18" s="169" t="str">
        <x:v>Phase 2 — Flight Research, Quotes, Payment, and Booking</x:v>
      </x:c>
      <x:c r="J18" s="147" t="str">
        <x:v>Requires the client, traveller, ownership, and permission foundation from Phase 1.</x:v>
      </x:c>
      <x:c r="K18" s="169" t="str">
        <x:v>Keep as proposed</x:v>
      </x:c>
      <x:c r="L18" s="170" t="str">
        <x:v>Pending project review</x:v>
      </x:c>
      <x:c r="M18" s="169" t="str"/>
    </x:row>
    <x:row r="19" ht="64" customHeight="1">
      <x:c r="A19" s="168" t="str">
        <x:v>P2-13</x:v>
      </x:c>
      <x:c r="B19" s="168" t="str">
        <x:v>Phase 2</x:v>
      </x:c>
      <x:c r="C19" s="168" t="str">
        <x:v>Flight Research, Quotes, Payment, and Booking</x:v>
      </x:c>
      <x:c r="D19" s="147" t="str">
        <x:v>Create the client-ready proposal directly in the new system and record when it was sent.</x:v>
      </x:c>
      <x:c r="E19" s="147" t="str">
        <x:v>A complete, traceable workflow from travel request through quotation, client decision, payment confirmation, and handoff to ticketing.</x:v>
      </x:c>
      <x:c r="F19" s="147" t="str">
        <x:v>Travel Agent</x:v>
      </x:c>
      <x:c r="G19" s="179" t="str">
        <x:v>Must Have</x:v>
      </x:c>
      <x:c r="H19" s="169" t="str">
        <x:v>To Be Confirmed</x:v>
      </x:c>
      <x:c r="I19" s="169" t="str">
        <x:v>Phase 2 — Flight Research, Quotes, Payment, and Booking</x:v>
      </x:c>
      <x:c r="J19" s="147" t="str">
        <x:v>Requires the client, traveller, ownership, and permission foundation from Phase 1.</x:v>
      </x:c>
      <x:c r="K19" s="169" t="str">
        <x:v>Keep as proposed</x:v>
      </x:c>
      <x:c r="L19" s="170" t="str">
        <x:v>Pending project review</x:v>
      </x:c>
      <x:c r="M19" s="169" t="str"/>
    </x:row>
    <x:row r="20" ht="64" customHeight="1">
      <x:c r="A20" s="168" t="str">
        <x:v>P2-14</x:v>
      </x:c>
      <x:c r="B20" s="168" t="str">
        <x:v>Phase 2</x:v>
      </x:c>
      <x:c r="C20" s="168" t="str">
        <x:v>Flight Research, Quotes, Payment, and Booking</x:v>
      </x:c>
      <x:c r="D20" s="147" t="str">
        <x:v>Record whether the client accepted, declined, asked for changes, or did not respond.</x:v>
      </x:c>
      <x:c r="E20" s="147" t="str">
        <x:v>A complete, traceable workflow from travel request through quotation, client decision, payment confirmation, and handoff to ticketing.</x:v>
      </x:c>
      <x:c r="F20" s="147" t="str">
        <x:v>Travel Agent</x:v>
      </x:c>
      <x:c r="G20" s="179" t="str">
        <x:v>Must Have</x:v>
      </x:c>
      <x:c r="H20" s="169" t="str">
        <x:v>To Be Confirmed</x:v>
      </x:c>
      <x:c r="I20" s="169" t="str">
        <x:v>Phase 2 — Flight Research, Quotes, Payment, and Booking</x:v>
      </x:c>
      <x:c r="J20" s="147" t="str">
        <x:v>Requires the client, traveller, ownership, and permission foundation from Phase 1.</x:v>
      </x:c>
      <x:c r="K20" s="169" t="str">
        <x:v>Keep as proposed</x:v>
      </x:c>
      <x:c r="L20" s="170" t="str">
        <x:v>Pending project review</x:v>
      </x:c>
      <x:c r="M20" s="169" t="str"/>
    </x:row>
    <x:row r="21" ht="64" customHeight="1">
      <x:c r="A21" s="168" t="str">
        <x:v>P2-15</x:v>
      </x:c>
      <x:c r="B21" s="168" t="str">
        <x:v>Phase 2</x:v>
      </x:c>
      <x:c r="C21" s="168" t="str">
        <x:v>Flight Research, Quotes, Payment, and Booking</x:v>
      </x:c>
      <x:c r="D21" s="147" t="str">
        <x:v>Receive a follow-up reminder when a held booking has not received a response.</x:v>
      </x:c>
      <x:c r="E21" s="147" t="str">
        <x:v>A complete, traceable workflow from travel request through quotation, client decision, payment confirmation, and handoff to ticketing.</x:v>
      </x:c>
      <x:c r="F21" s="147" t="str">
        <x:v>Travel Agent</x:v>
      </x:c>
      <x:c r="G21" s="179" t="str">
        <x:v>Must Have</x:v>
      </x:c>
      <x:c r="H21" s="169" t="str">
        <x:v>To Be Confirmed</x:v>
      </x:c>
      <x:c r="I21" s="169" t="str">
        <x:v>Phase 2 — Flight Research, Quotes, Payment, and Booking</x:v>
      </x:c>
      <x:c r="J21" s="147" t="str">
        <x:v>Requires the client, traveller, ownership, and permission foundation from Phase 1.</x:v>
      </x:c>
      <x:c r="K21" s="169" t="str">
        <x:v>Keep as proposed</x:v>
      </x:c>
      <x:c r="L21" s="170" t="str">
        <x:v>Pending project review</x:v>
      </x:c>
      <x:c r="M21" s="169" t="str"/>
    </x:row>
    <x:row r="22" ht="64" customHeight="1">
      <x:c r="A22" s="168" t="str">
        <x:v>P2-16</x:v>
      </x:c>
      <x:c r="B22" s="168" t="str">
        <x:v>Phase 2</x:v>
      </x:c>
      <x:c r="C22" s="168" t="str">
        <x:v>Flight Research, Quotes, Payment, and Booking</x:v>
      </x:c>
      <x:c r="D22" s="147" t="str">
        <x:v>Mark the booking as ready for invoicing after the client decides to proceed.</x:v>
      </x:c>
      <x:c r="E22" s="147" t="str">
        <x:v>A complete, traceable workflow from travel request through quotation, client decision, payment confirmation, and handoff to ticketing.</x:v>
      </x:c>
      <x:c r="F22" s="147" t="str">
        <x:v>Travel Agent; Finance User</x:v>
      </x:c>
      <x:c r="G22" s="179" t="str">
        <x:v>Must Have</x:v>
      </x:c>
      <x:c r="H22" s="169" t="str">
        <x:v>To Be Confirmed</x:v>
      </x:c>
      <x:c r="I22" s="169" t="str">
        <x:v>Phase 2 — Flight Research, Quotes, Payment, and Booking</x:v>
      </x:c>
      <x:c r="J22" s="147" t="str">
        <x:v>Requires the client, traveller, ownership, and permission foundation from Phase 1.</x:v>
      </x:c>
      <x:c r="K22" s="169" t="str">
        <x:v>Keep as proposed</x:v>
      </x:c>
      <x:c r="L22" s="170" t="str">
        <x:v>Pending project review</x:v>
      </x:c>
      <x:c r="M22" s="169" t="str"/>
    </x:row>
    <x:row r="23" ht="64" customHeight="1">
      <x:c r="A23" s="168" t="str">
        <x:v>P2-17</x:v>
      </x:c>
      <x:c r="B23" s="168" t="str">
        <x:v>Phase 2</x:v>
      </x:c>
      <x:c r="C23" s="168" t="str">
        <x:v>Flight Research, Quotes, Payment, and Booking</x:v>
      </x:c>
      <x:c r="D23" s="147" t="str">
        <x:v>Record payment confirmation and the payment reference number.</x:v>
      </x:c>
      <x:c r="E23" s="147" t="str">
        <x:v>A complete, traceable workflow from travel request through quotation, client decision, payment confirmation, and handoff to ticketing.</x:v>
      </x:c>
      <x:c r="F23" s="147" t="str">
        <x:v>Travel Agent; Finance User</x:v>
      </x:c>
      <x:c r="G23" s="179" t="str">
        <x:v>Must Have</x:v>
      </x:c>
      <x:c r="H23" s="169" t="str">
        <x:v>To Be Confirmed</x:v>
      </x:c>
      <x:c r="I23" s="169" t="str">
        <x:v>Phase 2 — Flight Research, Quotes, Payment, and Booking</x:v>
      </x:c>
      <x:c r="J23" s="147" t="str">
        <x:v>Requires the client, traveller, ownership, and permission foundation from Phase 1.</x:v>
      </x:c>
      <x:c r="K23" s="169" t="str">
        <x:v>Keep as proposed</x:v>
      </x:c>
      <x:c r="L23" s="170" t="str">
        <x:v>Pending project review</x:v>
      </x:c>
      <x:c r="M23" s="169" t="str"/>
    </x:row>
    <x:row r="24" ht="64" customHeight="1">
      <x:c r="A24" s="168" t="str">
        <x:v>P2-18</x:v>
      </x:c>
      <x:c r="B24" s="168" t="str">
        <x:v>Phase 2</x:v>
      </x:c>
      <x:c r="C24" s="168" t="str">
        <x:v>Flight Research, Quotes, Payment, and Booking</x:v>
      </x:c>
      <x:c r="D24" s="147" t="str">
        <x:v>Prevent a booking from being sent for ticket issuance unless payment, approved payment authorization, or an approved credit arrangement is confirmed.</x:v>
      </x:c>
      <x:c r="E24" s="147" t="str">
        <x:v>A complete, traceable workflow from travel request through quotation, client decision, payment confirmation, and handoff to ticketing.</x:v>
      </x:c>
      <x:c r="F24" s="147" t="str">
        <x:v>Travel Agent; Finance User</x:v>
      </x:c>
      <x:c r="G24" s="179" t="str">
        <x:v>Must Have</x:v>
      </x:c>
      <x:c r="H24" s="169" t="str">
        <x:v>To Be Confirmed</x:v>
      </x:c>
      <x:c r="I24" s="169" t="str">
        <x:v>Phase 2 — Flight Research, Quotes, Payment, and Booking</x:v>
      </x:c>
      <x:c r="J24" s="147" t="str">
        <x:v>Requires the client, traveller, ownership, and permission foundation from Phase 1.</x:v>
      </x:c>
      <x:c r="K24" s="169" t="str">
        <x:v>Keep as proposed</x:v>
      </x:c>
      <x:c r="L24" s="170" t="str">
        <x:v>Pending project review</x:v>
      </x:c>
      <x:c r="M24" s="169" t="str"/>
    </x:row>
    <x:row r="25" ht="64" customHeight="1">
      <x:c r="A25" s="168" t="str">
        <x:v>P2-19</x:v>
      </x:c>
      <x:c r="B25" s="168" t="str">
        <x:v>Phase 2</x:v>
      </x:c>
      <x:c r="C25" s="168" t="str">
        <x:v>Flight Research, Quotes, Payment, and Booking</x:v>
      </x:c>
      <x:c r="D25" s="147" t="str">
        <x:v>Track the booking through clear stages: accepted, payment pending, paid, ready to issue, sent to ticketing, ticket issued, and confirmation sent.</x:v>
      </x:c>
      <x:c r="E25" s="147" t="str">
        <x:v>A complete, traceable workflow from travel request through quotation, client decision, payment confirmation, and handoff to ticketing.</x:v>
      </x:c>
      <x:c r="F25" s="147" t="str">
        <x:v>Travel Agent; Finance User</x:v>
      </x:c>
      <x:c r="G25" s="179" t="str">
        <x:v>Must Have</x:v>
      </x:c>
      <x:c r="H25" s="169" t="str">
        <x:v>To Be Confirmed</x:v>
      </x:c>
      <x:c r="I25" s="169" t="str">
        <x:v>Phase 2 — Flight Research, Quotes, Payment, and Booking</x:v>
      </x:c>
      <x:c r="J25" s="147" t="str">
        <x:v>Requires the client, traveller, ownership, and permission foundation from Phase 1.</x:v>
      </x:c>
      <x:c r="K25" s="169" t="str">
        <x:v>Keep as proposed</x:v>
      </x:c>
      <x:c r="L25" s="170" t="str">
        <x:v>Pending project review</x:v>
      </x:c>
      <x:c r="M25" s="169" t="str"/>
    </x:row>
    <x:row r="26" ht="64" customHeight="1">
      <x:c r="A26" s="180" t="str">
        <x:v>P2-20</x:v>
      </x:c>
      <x:c r="B26" s="180" t="str">
        <x:v>Phase 2</x:v>
      </x:c>
      <x:c r="C26" s="180" t="str">
        <x:v>Flight Research, Quotes, Payment, and Booking</x:v>
      </x:c>
      <x:c r="D26" s="181" t="str">
        <x:v>Send a copy-ready ticket confirmation through WhatsApp after issuance is complete.</x:v>
      </x:c>
      <x:c r="E26" s="181" t="str">
        <x:v>A complete, traceable workflow from travel request through quotation, client decision, payment confirmation, and handoff to ticketing.</x:v>
      </x:c>
      <x:c r="F26" s="181" t="str">
        <x:v>Travel Agent</x:v>
      </x:c>
      <x:c r="G26" s="182" t="str">
        <x:v>Must Have</x:v>
      </x:c>
      <x:c r="H26" s="183" t="str">
        <x:v>To Be Confirmed</x:v>
      </x:c>
      <x:c r="I26" s="183" t="str">
        <x:v>Phase 2 — Flight Research, Quotes, Payment, and Booking</x:v>
      </x:c>
      <x:c r="J26" s="181" t="str">
        <x:v>Requires the client, traveller, ownership, and permission foundation from Phase 1.</x:v>
      </x:c>
      <x:c r="K26" s="183" t="str">
        <x:v>Keep as proposed</x:v>
      </x:c>
      <x:c r="L26" s="184" t="str">
        <x:v>Pending project review</x:v>
      </x:c>
      <x:c r="M26" s="183" t="str"/>
    </x:row>
  </x:sheetData>
  <x:mergeCells>
    <x:mergeCell ref="A1:M1"/>
    <x:mergeCell ref="A2:M2"/>
    <x:mergeCell ref="A3:M3"/>
    <x:mergeCell ref="E5:M5"/>
  </x:mergeCells>
  <x:conditionalFormatting sqref="H7:H26">
    <x:cfRule type="containsText" dxfId="10" priority="1" operator="containsText" text="Must Have"/>
    <x:cfRule type="containsText" dxfId="11" priority="2" operator="containsText" text="High"/>
    <x:cfRule type="containsText" dxfId="12" priority="3" operator="containsText" text="Medium"/>
    <x:cfRule type="containsText" dxfId="13" priority="4" operator="containsText" text="Low"/>
    <x:cfRule type="containsText" dxfId="14" priority="5" operator="containsText" text="Future"/>
    <x:cfRule type="containsText" dxfId="15" priority="6" operator="containsText" text="Remove"/>
  </x:conditionalFormatting>
  <x:conditionalFormatting sqref="K7:K26">
    <x:cfRule type="containsText" dxfId="16" priority="7" operator="containsText" text="Move"/>
    <x:cfRule type="containsText" dxfId="17" priority="8" operator="containsText" text="Remove"/>
    <x:cfRule type="containsText" dxfId="18" priority="9" operator="containsText" text="Needs discussion"/>
    <x:cfRule type="containsText" dxfId="19" priority="10" operator="containsText" text="Keep"/>
  </x:conditionalFormatting>
  <x:dataValidations count="4">
    <x:dataValidation type="list" sqref="H7:H26">
      <x:formula1>"Must Have,High,Medium,Low,Future,Remove,To Be Confirmed"</x:formula1>
    </x:dataValidation>
    <x:dataValidation type="list" sqref="I7:I26">
      <x:formula1>"Phase 1 — Client Intake and Daily Work Management,Phase 2 — Flight Research, Quotes, Payment, and Booking,Phase 3 — Sabre Connection and Ticketing,Phase 4 — Active Trip Support,Phase 5 — Changes, Cancellations, Exchanges, and Refunds,Phase 6 — Finance, Hotels, and Supporting Services,Phase 7 — Fare Optimization and Assisted Recommendations,Phase 8 — Client Self-Service and Management Visibility"</x:formula1>
    </x:dataValidation>
    <x:dataValidation type="list" sqref="K7:K26">
      <x:formula1>"Keep as proposed,Move to requested phase,Defer,Remove,Needs discussion"</x:formula1>
    </x:dataValidation>
    <x:dataValidation type="list" sqref="L7:L26">
      <x:formula1>"Pending project review,Can move freely,Can move with dependencies,Should not move earlier"</x:formula1>
    </x:dataValidation>
  </x:dataValidations>
  <x:pageMargins left="0.7" right="0.7" top="0.75" bottom="0.75" header="0.3" footer="0.3"/>
  <x:legacyDrawing xmlns:r="http://schemas.openxmlformats.org/officeDocument/2006/relationships" r:id="Rdee435f17474487a"/>
  <x:tableParts count="1">
    <x:tablePart xmlns:r="http://schemas.openxmlformats.org/officeDocument/2006/relationships" r:id="R55e91841c5b44be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34" hidden="0" customWidth="1"/>
    <x:col min="4" max="4" width="62" hidden="0" customWidth="1"/>
    <x:col min="5" max="5" width="44" hidden="0" customWidth="1"/>
    <x:col min="6" max="6" width="30" hidden="0" customWidth="1"/>
    <x:col min="7" max="7" width="20" hidden="0" customWidth="1"/>
    <x:col min="8" max="8" width="20" hidden="0" customWidth="1"/>
    <x:col min="9" max="9" width="42" hidden="0" customWidth="1"/>
    <x:col min="10" max="10" width="46" hidden="0" customWidth="1"/>
    <x:col min="11" max="11" width="24" hidden="0" customWidth="1"/>
    <x:col min="12" max="12" width="28" hidden="0" customWidth="1"/>
    <x:col min="13" max="13" width="42" hidden="0" customWidth="1"/>
  </x:cols>
  <x:sheetData>
    <x:row r="1" ht="32" customHeight="1">
      <x:c r="A1" s="131" t="str">
        <x:v>Phase 3 — Sabre Connection and Ticketing</x:v>
      </x:c>
      <x:c r="B1" s="131"/>
      <x:c r="C1" s="131"/>
      <x:c r="D1" s="131"/>
      <x:c r="E1" s="131"/>
      <x:c r="F1" s="131"/>
      <x:c r="G1" s="131"/>
      <x:c r="H1" s="131"/>
      <x:c r="I1" s="131"/>
      <x:c r="J1" s="131"/>
      <x:c r="K1" s="131"/>
      <x:c r="L1" s="131"/>
      <x:c r="M1" s="131"/>
    </x:row>
    <x:row r="2" ht="34" customHeight="1">
      <x:c r="A2" s="132" t="str">
        <x:v>Authorized staff can search live availability, compare suitable options, manage PNRs, and complete controlled ticketing work from the system.</x:v>
      </x:c>
      <x:c r="B2" s="132"/>
      <x:c r="C2" s="132"/>
      <x:c r="D2" s="132"/>
      <x:c r="E2" s="132"/>
      <x:c r="F2" s="132"/>
      <x:c r="G2" s="132"/>
      <x:c r="H2" s="132"/>
      <x:c r="I2" s="132"/>
      <x:c r="J2" s="132"/>
      <x:c r="K2" s="132"/>
      <x:c r="L2" s="132"/>
      <x:c r="M2" s="132"/>
    </x:row>
    <x:row r="3" ht="34" customHeight="1">
      <x:c r="A3" s="164" t="str">
        <x:v>Review each deliverable below. Use the yellow columns to set the client priority, request another phase, record a decision, or add comments. Phase changes remain subject to dependency review.</x:v>
      </x:c>
      <x:c r="B3" s="164"/>
      <x:c r="C3" s="164"/>
      <x:c r="D3" s="164"/>
      <x:c r="E3" s="164"/>
      <x:c r="F3" s="164"/>
      <x:c r="G3" s="164"/>
      <x:c r="H3" s="164"/>
      <x:c r="I3" s="164"/>
      <x:c r="J3" s="164"/>
      <x:c r="K3" s="164"/>
      <x:c r="L3" s="164"/>
      <x:c r="M3" s="164"/>
    </x:row>
    <x:row r="4">
      <x:c r="A4" s="133"/>
      <x:c r="B4" s="133"/>
      <x:c r="C4" s="133"/>
      <x:c r="D4" s="133"/>
      <x:c r="E4" s="133"/>
      <x:c r="F4" s="133"/>
      <x:c r="G4" s="133"/>
      <x:c r="H4" s="133"/>
      <x:c r="I4" s="133"/>
      <x:c r="J4" s="133"/>
      <x:c r="K4" s="133"/>
      <x:c r="L4" s="133"/>
      <x:c r="M4" s="133"/>
    </x:row>
    <x:row r="5">
      <x:c r="A5" s="174" t="str">
        <x:v>Original phase</x:v>
      </x:c>
      <x:c r="B5" s="175" t="str">
        <x:v>Phase 3 — Sabre Connection and Ticketing</x:v>
      </x:c>
      <x:c r="C5" s="175"/>
      <x:c r="D5" s="176" t="str">
        <x:v>Recommended sequence</x:v>
      </x:c>
      <x:c r="E5" s="175" t="str">
        <x:v>Requires a stable Phase 2 booking workflow plus approved Sabre API products, credentials, permissions, and test access.</x:v>
      </x:c>
      <x:c r="F5" s="175"/>
      <x:c r="G5" s="175"/>
      <x:c r="H5" s="175"/>
      <x:c r="I5" s="175"/>
      <x:c r="J5" s="175"/>
      <x:c r="K5" s="175"/>
      <x:c r="L5" s="175"/>
      <x:c r="M5" s="177"/>
    </x:row>
    <x:row r="6" ht="32" customHeight="1">
      <x:c r="A6" s="142" t="str">
        <x:v>Item ID</x:v>
      </x:c>
      <x:c r="B6" s="143" t="str">
        <x:v>Current Phase</x:v>
      </x:c>
      <x:c r="C6" s="143" t="str">
        <x:v>Phase Name</x:v>
      </x:c>
      <x:c r="D6" s="143" t="str">
        <x:v>What users will be able to do</x:v>
      </x:c>
      <x:c r="E6" s="143" t="str">
        <x:v>Expected outcome</x:v>
      </x:c>
      <x:c r="F6" s="143" t="str">
        <x:v>Primary role(s)</x:v>
      </x:c>
      <x:c r="G6" s="143" t="str">
        <x:v>Recommended priority</x:v>
      </x:c>
      <x:c r="H6" s="143" t="str">
        <x:v>Client priority</x:v>
      </x:c>
      <x:c r="I6" s="143" t="str">
        <x:v>Requested phase</x:v>
      </x:c>
      <x:c r="J6" s="143" t="str">
        <x:v>Dependency / sequencing note</x:v>
      </x:c>
      <x:c r="K6" s="143" t="str">
        <x:v>Client decision</x:v>
      </x:c>
      <x:c r="L6" s="143" t="str">
        <x:v>Project team review</x:v>
      </x:c>
      <x:c r="M6" s="144" t="str">
        <x:v>Client comments</x:v>
      </x:c>
    </x:row>
    <x:row r="7" ht="64" customHeight="1">
      <x:c r="A7" s="165" t="str">
        <x:v>P3-01</x:v>
      </x:c>
      <x:c r="B7" s="165" t="str">
        <x:v>Phase 3</x:v>
      </x:c>
      <x:c r="C7" s="165" t="str">
        <x:v>Sabre Connection and Ticketing</x:v>
      </x:c>
      <x:c r="D7" s="145" t="str">
        <x:v>Search live flight availability from the new system through approved Sabre connections.</x:v>
      </x:c>
      <x:c r="E7" s="145" t="str">
        <x:v>Authorized staff can search live availability, compare suitable options, manage PNRs, and complete controlled ticketing work from the system.</x:v>
      </x:c>
      <x:c r="F7" s="145" t="str">
        <x:v>Travel Agent; System Administrator</x:v>
      </x:c>
      <x:c r="G7" s="178" t="str">
        <x:v>High</x:v>
      </x:c>
      <x:c r="H7" s="166" t="str">
        <x:v>To Be Confirmed</x:v>
      </x:c>
      <x:c r="I7" s="166" t="str">
        <x:v>Phase 3 — Sabre Connection and Ticketing</x:v>
      </x:c>
      <x:c r="J7" s="145" t="str">
        <x:v>Requires a stable Phase 2 booking workflow plus approved Sabre API products, credentials, permissions, and test access.</x:v>
      </x:c>
      <x:c r="K7" s="166" t="str">
        <x:v>Keep as proposed</x:v>
      </x:c>
      <x:c r="L7" s="167" t="str">
        <x:v>Pending project review</x:v>
      </x:c>
      <x:c r="M7" s="166" t="str"/>
    </x:row>
    <x:row r="8" ht="64" customHeight="1">
      <x:c r="A8" s="168" t="str">
        <x:v>P3-02</x:v>
      </x:c>
      <x:c r="B8" s="168" t="str">
        <x:v>Phase 3</x:v>
      </x:c>
      <x:c r="C8" s="168" t="str">
        <x:v>Sabre Connection and Ticketing</x:v>
      </x:c>
      <x:c r="D8" s="147" t="str">
        <x:v>Retrieve comparable flight options with one action instead of repeating the same search manually.</x:v>
      </x:c>
      <x:c r="E8" s="147" t="str">
        <x:v>Authorized staff can search live availability, compare suitable options, manage PNRs, and complete controlled ticketing work from the system.</x:v>
      </x:c>
      <x:c r="F8" s="147" t="str">
        <x:v>Travel Agent; Ticketing Agent</x:v>
      </x:c>
      <x:c r="G8" s="179" t="str">
        <x:v>High</x:v>
      </x:c>
      <x:c r="H8" s="169" t="str">
        <x:v>To Be Confirmed</x:v>
      </x:c>
      <x:c r="I8" s="169" t="str">
        <x:v>Phase 3 — Sabre Connection and Ticketing</x:v>
      </x:c>
      <x:c r="J8" s="147" t="str">
        <x:v>Requires a stable Phase 2 booking workflow plus approved Sabre API products, credentials, permissions, and test access.</x:v>
      </x:c>
      <x:c r="K8" s="169" t="str">
        <x:v>Keep as proposed</x:v>
      </x:c>
      <x:c r="L8" s="170" t="str">
        <x:v>Pending project review</x:v>
      </x:c>
      <x:c r="M8" s="169" t="str"/>
    </x:row>
    <x:row r="9" ht="64" customHeight="1">
      <x:c r="A9" s="168" t="str">
        <x:v>P3-03</x:v>
      </x:c>
      <x:c r="B9" s="168" t="str">
        <x:v>Phase 3</x:v>
      </x:c>
      <x:c r="C9" s="168" t="str">
        <x:v>Sabre Connection and Ticketing</x:v>
      </x:c>
      <x:c r="D9" s="147" t="str">
        <x:v>Compare options from the relevant Sabre accounts or PCCs when more than one account may be suitable.</x:v>
      </x:c>
      <x:c r="E9" s="147" t="str">
        <x:v>Authorized staff can search live availability, compare suitable options, manage PNRs, and complete controlled ticketing work from the system.</x:v>
      </x:c>
      <x:c r="F9" s="147" t="str">
        <x:v>Travel Agent; Ticketing Agent</x:v>
      </x:c>
      <x:c r="G9" s="179" t="str">
        <x:v>High</x:v>
      </x:c>
      <x:c r="H9" s="169" t="str">
        <x:v>To Be Confirmed</x:v>
      </x:c>
      <x:c r="I9" s="169" t="str">
        <x:v>Phase 3 — Sabre Connection and Ticketing</x:v>
      </x:c>
      <x:c r="J9" s="147" t="str">
        <x:v>Requires a stable Phase 2 booking workflow plus approved Sabre API products, credentials, permissions, and test access.</x:v>
      </x:c>
      <x:c r="K9" s="169" t="str">
        <x:v>Keep as proposed</x:v>
      </x:c>
      <x:c r="L9" s="170" t="str">
        <x:v>Pending project review</x:v>
      </x:c>
      <x:c r="M9" s="169" t="str"/>
    </x:row>
    <x:row r="10" ht="64" customHeight="1">
      <x:c r="A10" s="168" t="str">
        <x:v>P3-04</x:v>
      </x:c>
      <x:c r="B10" s="168" t="str">
        <x:v>Phase 3</x:v>
      </x:c>
      <x:c r="C10" s="168" t="str">
        <x:v>Sabre Connection and Ticketing</x:v>
      </x:c>
      <x:c r="D10" s="147" t="str">
        <x:v>See the client price, fare conditions, available commission, and important restrictions before choosing an option.</x:v>
      </x:c>
      <x:c r="E10" s="147" t="str">
        <x:v>Authorized staff can search live availability, compare suitable options, manage PNRs, and complete controlled ticketing work from the system.</x:v>
      </x:c>
      <x:c r="F10" s="147" t="str">
        <x:v>Travel Agent; Ticketing Agent</x:v>
      </x:c>
      <x:c r="G10" s="179" t="str">
        <x:v>High</x:v>
      </x:c>
      <x:c r="H10" s="169" t="str">
        <x:v>To Be Confirmed</x:v>
      </x:c>
      <x:c r="I10" s="169" t="str">
        <x:v>Phase 3 — Sabre Connection and Ticketing</x:v>
      </x:c>
      <x:c r="J10" s="147" t="str">
        <x:v>Requires a stable Phase 2 booking workflow plus approved Sabre API products, credentials, permissions, and test access.</x:v>
      </x:c>
      <x:c r="K10" s="169" t="str">
        <x:v>Keep as proposed</x:v>
      </x:c>
      <x:c r="L10" s="170" t="str">
        <x:v>Pending project review</x:v>
      </x:c>
      <x:c r="M10" s="169" t="str"/>
    </x:row>
    <x:row r="11" ht="64" customHeight="1">
      <x:c r="A11" s="168" t="str">
        <x:v>P3-05</x:v>
      </x:c>
      <x:c r="B11" s="168" t="str">
        <x:v>Phase 3</x:v>
      </x:c>
      <x:c r="C11" s="168" t="str">
        <x:v>Sabre Connection and Ticketing</x:v>
      </x:c>
      <x:c r="D11" s="147" t="str">
        <x:v>Create a new PNR or retrieve an existing PNR from the system.</x:v>
      </x:c>
      <x:c r="E11" s="147" t="str">
        <x:v>Authorized staff can search live availability, compare suitable options, manage PNRs, and complete controlled ticketing work from the system.</x:v>
      </x:c>
      <x:c r="F11" s="147" t="str">
        <x:v>Travel Agent; Ticketing Agent</x:v>
      </x:c>
      <x:c r="G11" s="179" t="str">
        <x:v>High</x:v>
      </x:c>
      <x:c r="H11" s="169" t="str">
        <x:v>To Be Confirmed</x:v>
      </x:c>
      <x:c r="I11" s="169" t="str">
        <x:v>Phase 3 — Sabre Connection and Ticketing</x:v>
      </x:c>
      <x:c r="J11" s="147" t="str">
        <x:v>Requires a stable Phase 2 booking workflow plus approved Sabre API products, credentials, permissions, and test access.</x:v>
      </x:c>
      <x:c r="K11" s="169" t="str">
        <x:v>Keep as proposed</x:v>
      </x:c>
      <x:c r="L11" s="170" t="str">
        <x:v>Pending project review</x:v>
      </x:c>
      <x:c r="M11" s="169" t="str"/>
    </x:row>
    <x:row r="12" ht="64" customHeight="1">
      <x:c r="A12" s="168" t="str">
        <x:v>P3-06</x:v>
      </x:c>
      <x:c r="B12" s="168" t="str">
        <x:v>Phase 3</x:v>
      </x:c>
      <x:c r="C12" s="168" t="str">
        <x:v>Sabre Connection and Ticketing</x:v>
      </x:c>
      <x:c r="D12" s="147" t="str">
        <x:v>See reservation holds, ticketing deadlines, passenger details, and flight segments in one place.</x:v>
      </x:c>
      <x:c r="E12" s="147" t="str">
        <x:v>Authorized staff can search live availability, compare suitable options, manage PNRs, and complete controlled ticketing work from the system.</x:v>
      </x:c>
      <x:c r="F12" s="147" t="str">
        <x:v>Ticketing Agent; Supervisor / Manager</x:v>
      </x:c>
      <x:c r="G12" s="179" t="str">
        <x:v>High</x:v>
      </x:c>
      <x:c r="H12" s="169" t="str">
        <x:v>To Be Confirmed</x:v>
      </x:c>
      <x:c r="I12" s="169" t="str">
        <x:v>Phase 3 — Sabre Connection and Ticketing</x:v>
      </x:c>
      <x:c r="J12" s="147" t="str">
        <x:v>Requires a stable Phase 2 booking workflow plus approved Sabre API products, credentials, permissions, and test access.</x:v>
      </x:c>
      <x:c r="K12" s="169" t="str">
        <x:v>Keep as proposed</x:v>
      </x:c>
      <x:c r="L12" s="170" t="str">
        <x:v>Pending project review</x:v>
      </x:c>
      <x:c r="M12" s="169" t="str"/>
    </x:row>
    <x:row r="13" ht="64" customHeight="1">
      <x:c r="A13" s="168" t="str">
        <x:v>P3-07</x:v>
      </x:c>
      <x:c r="B13" s="168" t="str">
        <x:v>Phase 3</x:v>
      </x:c>
      <x:c r="C13" s="168" t="str">
        <x:v>Sabre Connection and Ticketing</x:v>
      </x:c>
      <x:c r="D13" s="147" t="str">
        <x:v>Prepare a booking for ticket issuance using a guided checklist.</x:v>
      </x:c>
      <x:c r="E13" s="147" t="str">
        <x:v>Authorized staff can search live availability, compare suitable options, manage PNRs, and complete controlled ticketing work from the system.</x:v>
      </x:c>
      <x:c r="F13" s="147" t="str">
        <x:v>Ticketing Agent; Supervisor / Manager</x:v>
      </x:c>
      <x:c r="G13" s="179" t="str">
        <x:v>Must Have</x:v>
      </x:c>
      <x:c r="H13" s="169" t="str">
        <x:v>To Be Confirmed</x:v>
      </x:c>
      <x:c r="I13" s="169" t="str">
        <x:v>Phase 3 — Sabre Connection and Ticketing</x:v>
      </x:c>
      <x:c r="J13" s="147" t="str">
        <x:v>Requires a stable Phase 2 booking workflow plus approved Sabre API products, credentials, permissions, and test access.</x:v>
      </x:c>
      <x:c r="K13" s="169" t="str">
        <x:v>Keep as proposed</x:v>
      </x:c>
      <x:c r="L13" s="170" t="str">
        <x:v>Pending project review</x:v>
      </x:c>
      <x:c r="M13" s="169" t="str"/>
    </x:row>
    <x:row r="14" ht="64" customHeight="1">
      <x:c r="A14" s="168" t="str">
        <x:v>P3-08</x:v>
      </x:c>
      <x:c r="B14" s="168" t="str">
        <x:v>Phase 3</x:v>
      </x:c>
      <x:c r="C14" s="168" t="str">
        <x:v>Sabre Connection and Ticketing</x:v>
      </x:c>
      <x:c r="D14" s="147" t="str">
        <x:v>Check whether separate domestic and international tickets may require conjunctive-ticket review and documentation.</x:v>
      </x:c>
      <x:c r="E14" s="147" t="str">
        <x:v>Authorized staff can search live availability, compare suitable options, manage PNRs, and complete controlled ticketing work from the system.</x:v>
      </x:c>
      <x:c r="F14" s="147" t="str">
        <x:v>Ticketing Agent; Supervisor / Manager</x:v>
      </x:c>
      <x:c r="G14" s="179" t="str">
        <x:v>High</x:v>
      </x:c>
      <x:c r="H14" s="169" t="str">
        <x:v>To Be Confirmed</x:v>
      </x:c>
      <x:c r="I14" s="169" t="str">
        <x:v>Phase 3 — Sabre Connection and Ticketing</x:v>
      </x:c>
      <x:c r="J14" s="147" t="str">
        <x:v>Requires a stable Phase 2 booking workflow plus approved Sabre API products, credentials, permissions, and test access.</x:v>
      </x:c>
      <x:c r="K14" s="169" t="str">
        <x:v>Keep as proposed</x:v>
      </x:c>
      <x:c r="L14" s="170" t="str">
        <x:v>Pending project review</x:v>
      </x:c>
      <x:c r="M14" s="169" t="str"/>
    </x:row>
    <x:row r="15" ht="64" customHeight="1">
      <x:c r="A15" s="168" t="str">
        <x:v>P3-09</x:v>
      </x:c>
      <x:c r="B15" s="168" t="str">
        <x:v>Phase 3</x:v>
      </x:c>
      <x:c r="C15" s="168" t="str">
        <x:v>Sabre Connection and Ticketing</x:v>
      </x:c>
      <x:c r="D15" s="147" t="str">
        <x:v>Allow only authorized staff to approve and perform ticket issuance, voids, or other sensitive ticket actions.</x:v>
      </x:c>
      <x:c r="E15" s="147" t="str">
        <x:v>Authorized staff can search live availability, compare suitable options, manage PNRs, and complete controlled ticketing work from the system.</x:v>
      </x:c>
      <x:c r="F15" s="147" t="str">
        <x:v>Ticketing Agent; Supervisor / Manager</x:v>
      </x:c>
      <x:c r="G15" s="179" t="str">
        <x:v>Must Have</x:v>
      </x:c>
      <x:c r="H15" s="169" t="str">
        <x:v>To Be Confirmed</x:v>
      </x:c>
      <x:c r="I15" s="169" t="str">
        <x:v>Phase 3 — Sabre Connection and Ticketing</x:v>
      </x:c>
      <x:c r="J15" s="147" t="str">
        <x:v>Requires a stable Phase 2 booking workflow plus approved Sabre API products, credentials, permissions, and test access.</x:v>
      </x:c>
      <x:c r="K15" s="169" t="str">
        <x:v>Keep as proposed</x:v>
      </x:c>
      <x:c r="L15" s="170" t="str">
        <x:v>Pending project review</x:v>
      </x:c>
      <x:c r="M15" s="169" t="str"/>
    </x:row>
    <x:row r="16" ht="64" customHeight="1">
      <x:c r="A16" s="168" t="str">
        <x:v>P3-10</x:v>
      </x:c>
      <x:c r="B16" s="168" t="str">
        <x:v>Phase 3</x:v>
      </x:c>
      <x:c r="C16" s="168" t="str">
        <x:v>Sabre Connection and Ticketing</x:v>
      </x:c>
      <x:c r="D16" s="147" t="str">
        <x:v>Store ticket numbers, issue details, traveller relationships, and ticket history automatically with the booking.</x:v>
      </x:c>
      <x:c r="E16" s="147" t="str">
        <x:v>Authorized staff can search live availability, compare suitable options, manage PNRs, and complete controlled ticketing work from the system.</x:v>
      </x:c>
      <x:c r="F16" s="147" t="str">
        <x:v>Ticketing Agent; Supervisor / Manager</x:v>
      </x:c>
      <x:c r="G16" s="179" t="str">
        <x:v>High</x:v>
      </x:c>
      <x:c r="H16" s="169" t="str">
        <x:v>To Be Confirmed</x:v>
      </x:c>
      <x:c r="I16" s="169" t="str">
        <x:v>Phase 3 — Sabre Connection and Ticketing</x:v>
      </x:c>
      <x:c r="J16" s="147" t="str">
        <x:v>Requires a stable Phase 2 booking workflow plus approved Sabre API products, credentials, permissions, and test access.</x:v>
      </x:c>
      <x:c r="K16" s="169" t="str">
        <x:v>Keep as proposed</x:v>
      </x:c>
      <x:c r="L16" s="170" t="str">
        <x:v>Pending project review</x:v>
      </x:c>
      <x:c r="M16" s="169" t="str"/>
    </x:row>
    <x:row r="17" ht="64" customHeight="1">
      <x:c r="A17" s="180" t="str">
        <x:v>P3-11</x:v>
      </x:c>
      <x:c r="B17" s="180" t="str">
        <x:v>Phase 3</x:v>
      </x:c>
      <x:c r="C17" s="180" t="str">
        <x:v>Sabre Connection and Ticketing</x:v>
      </x:c>
      <x:c r="D17" s="181" t="str">
        <x:v>See failed Sabre actions or queue items that require staff attention.</x:v>
      </x:c>
      <x:c r="E17" s="181" t="str">
        <x:v>Authorized staff can search live availability, compare suitable options, manage PNRs, and complete controlled ticketing work from the system.</x:v>
      </x:c>
      <x:c r="F17" s="181" t="str">
        <x:v>Travel Agent; System Administrator</x:v>
      </x:c>
      <x:c r="G17" s="182" t="str">
        <x:v>High</x:v>
      </x:c>
      <x:c r="H17" s="183" t="str">
        <x:v>To Be Confirmed</x:v>
      </x:c>
      <x:c r="I17" s="183" t="str">
        <x:v>Phase 3 — Sabre Connection and Ticketing</x:v>
      </x:c>
      <x:c r="J17" s="181" t="str">
        <x:v>Requires a stable Phase 2 booking workflow plus approved Sabre API products, credentials, permissions, and test access.</x:v>
      </x:c>
      <x:c r="K17" s="183" t="str">
        <x:v>Keep as proposed</x:v>
      </x:c>
      <x:c r="L17" s="184" t="str">
        <x:v>Pending project review</x:v>
      </x:c>
      <x:c r="M17" s="183" t="str"/>
    </x:row>
  </x:sheetData>
  <x:mergeCells>
    <x:mergeCell ref="A1:M1"/>
    <x:mergeCell ref="A2:M2"/>
    <x:mergeCell ref="A3:M3"/>
    <x:mergeCell ref="E5:M5"/>
  </x:mergeCells>
  <x:conditionalFormatting sqref="H7:H17">
    <x:cfRule type="containsText" dxfId="20" priority="1" operator="containsText" text="Must Have"/>
    <x:cfRule type="containsText" dxfId="21" priority="2" operator="containsText" text="High"/>
    <x:cfRule type="containsText" dxfId="22" priority="3" operator="containsText" text="Medium"/>
    <x:cfRule type="containsText" dxfId="23" priority="4" operator="containsText" text="Low"/>
    <x:cfRule type="containsText" dxfId="24" priority="5" operator="containsText" text="Future"/>
    <x:cfRule type="containsText" dxfId="25" priority="6" operator="containsText" text="Remove"/>
  </x:conditionalFormatting>
  <x:conditionalFormatting sqref="K7:K17">
    <x:cfRule type="containsText" dxfId="26" priority="7" operator="containsText" text="Move"/>
    <x:cfRule type="containsText" dxfId="27" priority="8" operator="containsText" text="Remove"/>
    <x:cfRule type="containsText" dxfId="28" priority="9" operator="containsText" text="Needs discussion"/>
    <x:cfRule type="containsText" dxfId="29" priority="10" operator="containsText" text="Keep"/>
  </x:conditionalFormatting>
  <x:dataValidations count="4">
    <x:dataValidation type="list" sqref="H7:H17">
      <x:formula1>"Must Have,High,Medium,Low,Future,Remove,To Be Confirmed"</x:formula1>
    </x:dataValidation>
    <x:dataValidation type="list" sqref="I7:I17">
      <x:formula1>"Phase 1 — Client Intake and Daily Work Management,Phase 2 — Flight Research, Quotes, Payment, and Booking,Phase 3 — Sabre Connection and Ticketing,Phase 4 — Active Trip Support,Phase 5 — Changes, Cancellations, Exchanges, and Refunds,Phase 6 — Finance, Hotels, and Supporting Services,Phase 7 — Fare Optimization and Assisted Recommendations,Phase 8 — Client Self-Service and Management Visibility"</x:formula1>
    </x:dataValidation>
    <x:dataValidation type="list" sqref="K7:K17">
      <x:formula1>"Keep as proposed,Move to requested phase,Defer,Remove,Needs discussion"</x:formula1>
    </x:dataValidation>
    <x:dataValidation type="list" sqref="L7:L17">
      <x:formula1>"Pending project review,Can move freely,Can move with dependencies,Should not move earlier"</x:formula1>
    </x:dataValidation>
  </x:dataValidations>
  <x:pageMargins left="0.7" right="0.7" top="0.75" bottom="0.75" header="0.3" footer="0.3"/>
  <x:legacyDrawing xmlns:r="http://schemas.openxmlformats.org/officeDocument/2006/relationships" r:id="Ra43905a9b7da4050"/>
  <x:tableParts count="1">
    <x:tablePart xmlns:r="http://schemas.openxmlformats.org/officeDocument/2006/relationships" r:id="Re6168e6fa8e24a7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34" hidden="0" customWidth="1"/>
    <x:col min="4" max="4" width="62" hidden="0" customWidth="1"/>
    <x:col min="5" max="5" width="44" hidden="0" customWidth="1"/>
    <x:col min="6" max="6" width="30" hidden="0" customWidth="1"/>
    <x:col min="7" max="7" width="20" hidden="0" customWidth="1"/>
    <x:col min="8" max="8" width="20" hidden="0" customWidth="1"/>
    <x:col min="9" max="9" width="42" hidden="0" customWidth="1"/>
    <x:col min="10" max="10" width="46" hidden="0" customWidth="1"/>
    <x:col min="11" max="11" width="24" hidden="0" customWidth="1"/>
    <x:col min="12" max="12" width="28" hidden="0" customWidth="1"/>
    <x:col min="13" max="13" width="42" hidden="0" customWidth="1"/>
  </x:cols>
  <x:sheetData>
    <x:row r="1" ht="32" customHeight="1">
      <x:c r="A1" s="131" t="str">
        <x:v>Phase 4 — Active Trip Support</x:v>
      </x:c>
      <x:c r="B1" s="131"/>
      <x:c r="C1" s="131"/>
      <x:c r="D1" s="131"/>
      <x:c r="E1" s="131"/>
      <x:c r="F1" s="131"/>
      <x:c r="G1" s="131"/>
      <x:c r="H1" s="131"/>
      <x:c r="I1" s="131"/>
      <x:c r="J1" s="131"/>
      <x:c r="K1" s="131"/>
      <x:c r="L1" s="131"/>
      <x:c r="M1" s="131"/>
    </x:row>
    <x:row r="2" ht="34" customHeight="1">
      <x:c r="A2" s="132" t="str">
        <x:v>Agents can proactively manage upcoming trips, check-in, schedule changes, urgent support, and post-arrival follow-up.</x:v>
      </x:c>
      <x:c r="B2" s="132"/>
      <x:c r="C2" s="132"/>
      <x:c r="D2" s="132"/>
      <x:c r="E2" s="132"/>
      <x:c r="F2" s="132"/>
      <x:c r="G2" s="132"/>
      <x:c r="H2" s="132"/>
      <x:c r="I2" s="132"/>
      <x:c r="J2" s="132"/>
      <x:c r="K2" s="132"/>
      <x:c r="L2" s="132"/>
      <x:c r="M2" s="132"/>
    </x:row>
    <x:row r="3" ht="34" customHeight="1">
      <x:c r="A3" s="164" t="str">
        <x:v>Review each deliverable below. Use the yellow columns to set the client priority, request another phase, record a decision, or add comments. Phase changes remain subject to dependency review.</x:v>
      </x:c>
      <x:c r="B3" s="164"/>
      <x:c r="C3" s="164"/>
      <x:c r="D3" s="164"/>
      <x:c r="E3" s="164"/>
      <x:c r="F3" s="164"/>
      <x:c r="G3" s="164"/>
      <x:c r="H3" s="164"/>
      <x:c r="I3" s="164"/>
      <x:c r="J3" s="164"/>
      <x:c r="K3" s="164"/>
      <x:c r="L3" s="164"/>
      <x:c r="M3" s="164"/>
    </x:row>
    <x:row r="4">
      <x:c r="A4" s="133"/>
      <x:c r="B4" s="133"/>
      <x:c r="C4" s="133"/>
      <x:c r="D4" s="133"/>
      <x:c r="E4" s="133"/>
      <x:c r="F4" s="133"/>
      <x:c r="G4" s="133"/>
      <x:c r="H4" s="133"/>
      <x:c r="I4" s="133"/>
      <x:c r="J4" s="133"/>
      <x:c r="K4" s="133"/>
      <x:c r="L4" s="133"/>
      <x:c r="M4" s="133"/>
    </x:row>
    <x:row r="5">
      <x:c r="A5" s="174" t="str">
        <x:v>Original phase</x:v>
      </x:c>
      <x:c r="B5" s="175" t="str">
        <x:v>Phase 4 — Active Trip Support</x:v>
      </x:c>
      <x:c r="C5" s="175"/>
      <x:c r="D5" s="176" t="str">
        <x:v>Recommended sequence</x:v>
      </x:c>
      <x:c r="E5" s="175" t="str">
        <x:v>Requires reliable booking, segment, and ticket information; automation improves after the Phase 3 Sabre connection.</x:v>
      </x:c>
      <x:c r="F5" s="175"/>
      <x:c r="G5" s="175"/>
      <x:c r="H5" s="175"/>
      <x:c r="I5" s="175"/>
      <x:c r="J5" s="175"/>
      <x:c r="K5" s="175"/>
      <x:c r="L5" s="175"/>
      <x:c r="M5" s="177"/>
    </x:row>
    <x:row r="6" ht="32" customHeight="1">
      <x:c r="A6" s="142" t="str">
        <x:v>Item ID</x:v>
      </x:c>
      <x:c r="B6" s="143" t="str">
        <x:v>Current Phase</x:v>
      </x:c>
      <x:c r="C6" s="143" t="str">
        <x:v>Phase Name</x:v>
      </x:c>
      <x:c r="D6" s="143" t="str">
        <x:v>What users will be able to do</x:v>
      </x:c>
      <x:c r="E6" s="143" t="str">
        <x:v>Expected outcome</x:v>
      </x:c>
      <x:c r="F6" s="143" t="str">
        <x:v>Primary role(s)</x:v>
      </x:c>
      <x:c r="G6" s="143" t="str">
        <x:v>Recommended priority</x:v>
      </x:c>
      <x:c r="H6" s="143" t="str">
        <x:v>Client priority</x:v>
      </x:c>
      <x:c r="I6" s="143" t="str">
        <x:v>Requested phase</x:v>
      </x:c>
      <x:c r="J6" s="143" t="str">
        <x:v>Dependency / sequencing note</x:v>
      </x:c>
      <x:c r="K6" s="143" t="str">
        <x:v>Client decision</x:v>
      </x:c>
      <x:c r="L6" s="143" t="str">
        <x:v>Project team review</x:v>
      </x:c>
      <x:c r="M6" s="144" t="str">
        <x:v>Client comments</x:v>
      </x:c>
    </x:row>
    <x:row r="7" ht="64" customHeight="1">
      <x:c r="A7" s="165" t="str">
        <x:v>P4-01</x:v>
      </x:c>
      <x:c r="B7" s="165" t="str">
        <x:v>Phase 4</x:v>
      </x:c>
      <x:c r="C7" s="165" t="str">
        <x:v>Active Trip Support</x:v>
      </x:c>
      <x:c r="D7" s="145" t="str">
        <x:v>See all clients who are travelling soon and the actions required for each trip.</x:v>
      </x:c>
      <x:c r="E7" s="145" t="str">
        <x:v>Agents can proactively manage upcoming trips, check-in, schedule changes, urgent support, and post-arrival follow-up.</x:v>
      </x:c>
      <x:c r="F7" s="145" t="str">
        <x:v>Travel Agent; Supervisor / Manager</x:v>
      </x:c>
      <x:c r="G7" s="178" t="str">
        <x:v>High</x:v>
      </x:c>
      <x:c r="H7" s="166" t="str">
        <x:v>To Be Confirmed</x:v>
      </x:c>
      <x:c r="I7" s="166" t="str">
        <x:v>Phase 4 — Active Trip Support</x:v>
      </x:c>
      <x:c r="J7" s="145" t="str">
        <x:v>Requires reliable booking, segment, and ticket information; automation improves after the Phase 3 Sabre connection.</x:v>
      </x:c>
      <x:c r="K7" s="166" t="str">
        <x:v>Keep as proposed</x:v>
      </x:c>
      <x:c r="L7" s="167" t="str">
        <x:v>Pending project review</x:v>
      </x:c>
      <x:c r="M7" s="166" t="str"/>
    </x:row>
    <x:row r="8" ht="64" customHeight="1">
      <x:c r="A8" s="168" t="str">
        <x:v>P4-02</x:v>
      </x:c>
      <x:c r="B8" s="168" t="str">
        <x:v>Phase 4</x:v>
      </x:c>
      <x:c r="C8" s="168" t="str">
        <x:v>Active Trip Support</x:v>
      </x:c>
      <x:c r="D8" s="147" t="str">
        <x:v>Receive alerts for schedule changes, cancellations, ticketing issues, and other urgent events.</x:v>
      </x:c>
      <x:c r="E8" s="147" t="str">
        <x:v>Agents can proactively manage upcoming trips, check-in, schedule changes, urgent support, and post-arrival follow-up.</x:v>
      </x:c>
      <x:c r="F8" s="147" t="str">
        <x:v>Travel Agent; Supervisor / Manager</x:v>
      </x:c>
      <x:c r="G8" s="179" t="str">
        <x:v>High</x:v>
      </x:c>
      <x:c r="H8" s="169" t="str">
        <x:v>To Be Confirmed</x:v>
      </x:c>
      <x:c r="I8" s="169" t="str">
        <x:v>Phase 4 — Active Trip Support</x:v>
      </x:c>
      <x:c r="J8" s="147" t="str">
        <x:v>Requires reliable booking, segment, and ticket information; automation improves after the Phase 3 Sabre connection.</x:v>
      </x:c>
      <x:c r="K8" s="169" t="str">
        <x:v>Keep as proposed</x:v>
      </x:c>
      <x:c r="L8" s="170" t="str">
        <x:v>Pending project review</x:v>
      </x:c>
      <x:c r="M8" s="169" t="str"/>
    </x:row>
    <x:row r="9" ht="64" customHeight="1">
      <x:c r="A9" s="168" t="str">
        <x:v>P4-03</x:v>
      </x:c>
      <x:c r="B9" s="168" t="str">
        <x:v>Phase 4</x:v>
      </x:c>
      <x:c r="C9" s="168" t="str">
        <x:v>Active Trip Support</x:v>
      </x:c>
      <x:c r="D9" s="147" t="str">
        <x:v>Prepare copy-ready WhatsApp messages for check-in, schedule changes, and travel reminders.</x:v>
      </x:c>
      <x:c r="E9" s="147" t="str">
        <x:v>Agents can proactively manage upcoming trips, check-in, schedule changes, urgent support, and post-arrival follow-up.</x:v>
      </x:c>
      <x:c r="F9" s="147" t="str">
        <x:v>Travel Agent; Supervisor / Manager</x:v>
      </x:c>
      <x:c r="G9" s="179" t="str">
        <x:v>High</x:v>
      </x:c>
      <x:c r="H9" s="169" t="str">
        <x:v>To Be Confirmed</x:v>
      </x:c>
      <x:c r="I9" s="169" t="str">
        <x:v>Phase 4 — Active Trip Support</x:v>
      </x:c>
      <x:c r="J9" s="147" t="str">
        <x:v>Requires reliable booking, segment, and ticket information; automation improves after the Phase 3 Sabre connection.</x:v>
      </x:c>
      <x:c r="K9" s="169" t="str">
        <x:v>Keep as proposed</x:v>
      </x:c>
      <x:c r="L9" s="170" t="str">
        <x:v>Pending project review</x:v>
      </x:c>
      <x:c r="M9" s="169" t="str"/>
    </x:row>
    <x:row r="10" ht="64" customHeight="1">
      <x:c r="A10" s="168" t="str">
        <x:v>P4-04</x:v>
      </x:c>
      <x:c r="B10" s="168" t="str">
        <x:v>Phase 4</x:v>
      </x:c>
      <x:c r="C10" s="168" t="str">
        <x:v>Active Trip Support</x:v>
      </x:c>
      <x:c r="D10" s="147" t="str">
        <x:v>Track whether the client has confirmed check-in instead of assuming it is complete.</x:v>
      </x:c>
      <x:c r="E10" s="147" t="str">
        <x:v>Agents can proactively manage upcoming trips, check-in, schedule changes, urgent support, and post-arrival follow-up.</x:v>
      </x:c>
      <x:c r="F10" s="147" t="str">
        <x:v>Travel Agent; Supervisor / Manager</x:v>
      </x:c>
      <x:c r="G10" s="179" t="str">
        <x:v>High</x:v>
      </x:c>
      <x:c r="H10" s="169" t="str">
        <x:v>To Be Confirmed</x:v>
      </x:c>
      <x:c r="I10" s="169" t="str">
        <x:v>Phase 4 — Active Trip Support</x:v>
      </x:c>
      <x:c r="J10" s="147" t="str">
        <x:v>Requires reliable booking, segment, and ticket information; automation improves after the Phase 3 Sabre connection.</x:v>
      </x:c>
      <x:c r="K10" s="169" t="str">
        <x:v>Keep as proposed</x:v>
      </x:c>
      <x:c r="L10" s="170" t="str">
        <x:v>Pending project review</x:v>
      </x:c>
      <x:c r="M10" s="169" t="str"/>
    </x:row>
    <x:row r="11" ht="64" customHeight="1">
      <x:c r="A11" s="168" t="str">
        <x:v>P4-05</x:v>
      </x:c>
      <x:c r="B11" s="168" t="str">
        <x:v>Phase 4</x:v>
      </x:c>
      <x:c r="C11" s="168" t="str">
        <x:v>Active Trip Support</x:v>
      </x:c>
      <x:c r="D11" s="147" t="str">
        <x:v>Receive follow-up and escalation reminders when check-in has not been confirmed.</x:v>
      </x:c>
      <x:c r="E11" s="147" t="str">
        <x:v>Agents can proactively manage upcoming trips, check-in, schedule changes, urgent support, and post-arrival follow-up.</x:v>
      </x:c>
      <x:c r="F11" s="147" t="str">
        <x:v>Travel Agent; Supervisor / Manager</x:v>
      </x:c>
      <x:c r="G11" s="179" t="str">
        <x:v>High</x:v>
      </x:c>
      <x:c r="H11" s="169" t="str">
        <x:v>To Be Confirmed</x:v>
      </x:c>
      <x:c r="I11" s="169" t="str">
        <x:v>Phase 4 — Active Trip Support</x:v>
      </x:c>
      <x:c r="J11" s="147" t="str">
        <x:v>Requires reliable booking, segment, and ticket information; automation improves after the Phase 3 Sabre connection.</x:v>
      </x:c>
      <x:c r="K11" s="169" t="str">
        <x:v>Keep as proposed</x:v>
      </x:c>
      <x:c r="L11" s="170" t="str">
        <x:v>Pending project review</x:v>
      </x:c>
      <x:c r="M11" s="169" t="str"/>
    </x:row>
    <x:row r="12" ht="64" customHeight="1">
      <x:c r="A12" s="168" t="str">
        <x:v>P4-06</x:v>
      </x:c>
      <x:c r="B12" s="168" t="str">
        <x:v>Phase 4</x:v>
      </x:c>
      <x:c r="C12" s="168" t="str">
        <x:v>Active Trip Support</x:v>
      </x:c>
      <x:c r="D12" s="147" t="str">
        <x:v>Record boarding-pass status, seat status, baggage questions, and special-service requests.</x:v>
      </x:c>
      <x:c r="E12" s="147" t="str">
        <x:v>Agents can proactively manage upcoming trips, check-in, schedule changes, urgent support, and post-arrival follow-up.</x:v>
      </x:c>
      <x:c r="F12" s="147" t="str">
        <x:v>Travel Agent; Supervisor / Manager</x:v>
      </x:c>
      <x:c r="G12" s="179" t="str">
        <x:v>High</x:v>
      </x:c>
      <x:c r="H12" s="169" t="str">
        <x:v>To Be Confirmed</x:v>
      </x:c>
      <x:c r="I12" s="169" t="str">
        <x:v>Phase 4 — Active Trip Support</x:v>
      </x:c>
      <x:c r="J12" s="147" t="str">
        <x:v>Requires reliable booking, segment, and ticket information; automation improves after the Phase 3 Sabre connection.</x:v>
      </x:c>
      <x:c r="K12" s="169" t="str">
        <x:v>Keep as proposed</x:v>
      </x:c>
      <x:c r="L12" s="170" t="str">
        <x:v>Pending project review</x:v>
      </x:c>
      <x:c r="M12" s="169" t="str"/>
    </x:row>
    <x:row r="13" ht="64" customHeight="1">
      <x:c r="A13" s="168" t="str">
        <x:v>P4-07</x:v>
      </x:c>
      <x:c r="B13" s="168" t="str">
        <x:v>Phase 4</x:v>
      </x:c>
      <x:c r="C13" s="168" t="str">
        <x:v>Active Trip Support</x:v>
      </x:c>
      <x:c r="D13" s="147" t="str">
        <x:v>Open and assign a support case when a client needs help before or during travel.</x:v>
      </x:c>
      <x:c r="E13" s="147" t="str">
        <x:v>Agents can proactively manage upcoming trips, check-in, schedule changes, urgent support, and post-arrival follow-up.</x:v>
      </x:c>
      <x:c r="F13" s="147" t="str">
        <x:v>Travel Agent; Supervisor / Manager</x:v>
      </x:c>
      <x:c r="G13" s="179" t="str">
        <x:v>High</x:v>
      </x:c>
      <x:c r="H13" s="169" t="str">
        <x:v>To Be Confirmed</x:v>
      </x:c>
      <x:c r="I13" s="169" t="str">
        <x:v>Phase 4 — Active Trip Support</x:v>
      </x:c>
      <x:c r="J13" s="147" t="str">
        <x:v>Requires reliable booking, segment, and ticket information; automation improves after the Phase 3 Sabre connection.</x:v>
      </x:c>
      <x:c r="K13" s="169" t="str">
        <x:v>Keep as proposed</x:v>
      </x:c>
      <x:c r="L13" s="170" t="str">
        <x:v>Pending project review</x:v>
      </x:c>
      <x:c r="M13" s="169" t="str"/>
    </x:row>
    <x:row r="14" ht="64" customHeight="1">
      <x:c r="A14" s="168" t="str">
        <x:v>P4-08</x:v>
      </x:c>
      <x:c r="B14" s="168" t="str">
        <x:v>Phase 4</x:v>
      </x:c>
      <x:c r="C14" s="168" t="str">
        <x:v>Active Trip Support</x:v>
      </x:c>
      <x:c r="D14" s="147" t="str">
        <x:v>Record airline contacts, actions taken, and the final result of each support case.</x:v>
      </x:c>
      <x:c r="E14" s="147" t="str">
        <x:v>Agents can proactively manage upcoming trips, check-in, schedule changes, urgent support, and post-arrival follow-up.</x:v>
      </x:c>
      <x:c r="F14" s="147" t="str">
        <x:v>Travel Agent; Supervisor / Manager</x:v>
      </x:c>
      <x:c r="G14" s="179" t="str">
        <x:v>High</x:v>
      </x:c>
      <x:c r="H14" s="169" t="str">
        <x:v>To Be Confirmed</x:v>
      </x:c>
      <x:c r="I14" s="169" t="str">
        <x:v>Phase 4 — Active Trip Support</x:v>
      </x:c>
      <x:c r="J14" s="147" t="str">
        <x:v>Requires reliable booking, segment, and ticket information; automation improves after the Phase 3 Sabre connection.</x:v>
      </x:c>
      <x:c r="K14" s="169" t="str">
        <x:v>Keep as proposed</x:v>
      </x:c>
      <x:c r="L14" s="170" t="str">
        <x:v>Pending project review</x:v>
      </x:c>
      <x:c r="M14" s="169" t="str"/>
    </x:row>
    <x:row r="15" ht="64" customHeight="1">
      <x:c r="A15" s="180" t="str">
        <x:v>P4-09</x:v>
      </x:c>
      <x:c r="B15" s="180" t="str">
        <x:v>Phase 4</x:v>
      </x:c>
      <x:c r="C15" s="180" t="str">
        <x:v>Active Trip Support</x:v>
      </x:c>
      <x:c r="D15" s="181" t="str">
        <x:v>Receive a reminder to contact the client after arrival and record any delay, baggage, or service issue.</x:v>
      </x:c>
      <x:c r="E15" s="181" t="str">
        <x:v>Agents can proactively manage upcoming trips, check-in, schedule changes, urgent support, and post-arrival follow-up.</x:v>
      </x:c>
      <x:c r="F15" s="181" t="str">
        <x:v>Travel Agent; Supervisor / Manager</x:v>
      </x:c>
      <x:c r="G15" s="182" t="str">
        <x:v>High</x:v>
      </x:c>
      <x:c r="H15" s="183" t="str">
        <x:v>To Be Confirmed</x:v>
      </x:c>
      <x:c r="I15" s="183" t="str">
        <x:v>Phase 4 — Active Trip Support</x:v>
      </x:c>
      <x:c r="J15" s="181" t="str">
        <x:v>Requires reliable booking, segment, and ticket information; automation improves after the Phase 3 Sabre connection.</x:v>
      </x:c>
      <x:c r="K15" s="183" t="str">
        <x:v>Keep as proposed</x:v>
      </x:c>
      <x:c r="L15" s="184" t="str">
        <x:v>Pending project review</x:v>
      </x:c>
      <x:c r="M15" s="183" t="str"/>
    </x:row>
  </x:sheetData>
  <x:mergeCells>
    <x:mergeCell ref="A1:M1"/>
    <x:mergeCell ref="A2:M2"/>
    <x:mergeCell ref="A3:M3"/>
    <x:mergeCell ref="E5:M5"/>
  </x:mergeCells>
  <x:conditionalFormatting sqref="H7:H15">
    <x:cfRule type="containsText" dxfId="30" priority="1" operator="containsText" text="Must Have"/>
    <x:cfRule type="containsText" dxfId="31" priority="2" operator="containsText" text="High"/>
    <x:cfRule type="containsText" dxfId="32" priority="3" operator="containsText" text="Medium"/>
    <x:cfRule type="containsText" dxfId="33" priority="4" operator="containsText" text="Low"/>
    <x:cfRule type="containsText" dxfId="34" priority="5" operator="containsText" text="Future"/>
    <x:cfRule type="containsText" dxfId="35" priority="6" operator="containsText" text="Remove"/>
  </x:conditionalFormatting>
  <x:conditionalFormatting sqref="K7:K15">
    <x:cfRule type="containsText" dxfId="36" priority="7" operator="containsText" text="Move"/>
    <x:cfRule type="containsText" dxfId="37" priority="8" operator="containsText" text="Remove"/>
    <x:cfRule type="containsText" dxfId="38" priority="9" operator="containsText" text="Needs discussion"/>
    <x:cfRule type="containsText" dxfId="39" priority="10" operator="containsText" text="Keep"/>
  </x:conditionalFormatting>
  <x:dataValidations count="4">
    <x:dataValidation type="list" sqref="H7:H15">
      <x:formula1>"Must Have,High,Medium,Low,Future,Remove,To Be Confirmed"</x:formula1>
    </x:dataValidation>
    <x:dataValidation type="list" sqref="I7:I15">
      <x:formula1>"Phase 1 — Client Intake and Daily Work Management,Phase 2 — Flight Research, Quotes, Payment, and Booking,Phase 3 — Sabre Connection and Ticketing,Phase 4 — Active Trip Support,Phase 5 — Changes, Cancellations, Exchanges, and Refunds,Phase 6 — Finance, Hotels, and Supporting Services,Phase 7 — Fare Optimization and Assisted Recommendations,Phase 8 — Client Self-Service and Management Visibility"</x:formula1>
    </x:dataValidation>
    <x:dataValidation type="list" sqref="K7:K15">
      <x:formula1>"Keep as proposed,Move to requested phase,Defer,Remove,Needs discussion"</x:formula1>
    </x:dataValidation>
    <x:dataValidation type="list" sqref="L7:L15">
      <x:formula1>"Pending project review,Can move freely,Can move with dependencies,Should not move earlier"</x:formula1>
    </x:dataValidation>
  </x:dataValidations>
  <x:pageMargins left="0.7" right="0.7" top="0.75" bottom="0.75" header="0.3" footer="0.3"/>
  <x:legacyDrawing xmlns:r="http://schemas.openxmlformats.org/officeDocument/2006/relationships" r:id="R0aa0fe7d995441af"/>
  <x:tableParts count="1">
    <x:tablePart xmlns:r="http://schemas.openxmlformats.org/officeDocument/2006/relationships" r:id="R0d05d568390f47c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34" hidden="0" customWidth="1"/>
    <x:col min="4" max="4" width="62" hidden="0" customWidth="1"/>
    <x:col min="5" max="5" width="44" hidden="0" customWidth="1"/>
    <x:col min="6" max="6" width="30" hidden="0" customWidth="1"/>
    <x:col min="7" max="7" width="20" hidden="0" customWidth="1"/>
    <x:col min="8" max="8" width="20" hidden="0" customWidth="1"/>
    <x:col min="9" max="9" width="42" hidden="0" customWidth="1"/>
    <x:col min="10" max="10" width="46" hidden="0" customWidth="1"/>
    <x:col min="11" max="11" width="24" hidden="0" customWidth="1"/>
    <x:col min="12" max="12" width="28" hidden="0" customWidth="1"/>
    <x:col min="13" max="13" width="42" hidden="0" customWidth="1"/>
  </x:cols>
  <x:sheetData>
    <x:row r="1" ht="32" customHeight="1">
      <x:c r="A1" s="131" t="str">
        <x:v>Phase 5 — Changes, Cancellations, Exchanges, and Refunds</x:v>
      </x:c>
      <x:c r="B1" s="131"/>
      <x:c r="C1" s="131"/>
      <x:c r="D1" s="131"/>
      <x:c r="E1" s="131"/>
      <x:c r="F1" s="131"/>
      <x:c r="G1" s="131"/>
      <x:c r="H1" s="131"/>
      <x:c r="I1" s="131"/>
      <x:c r="J1" s="131"/>
      <x:c r="K1" s="131"/>
      <x:c r="L1" s="131"/>
      <x:c r="M1" s="131"/>
    </x:row>
    <x:row r="2" ht="34" customHeight="1">
      <x:c r="A2" s="132" t="str">
        <x:v>Post-ticketing changes and financial consequences are handled through a controlled, auditable process with client approval.</x:v>
      </x:c>
      <x:c r="B2" s="132"/>
      <x:c r="C2" s="132"/>
      <x:c r="D2" s="132"/>
      <x:c r="E2" s="132"/>
      <x:c r="F2" s="132"/>
      <x:c r="G2" s="132"/>
      <x:c r="H2" s="132"/>
      <x:c r="I2" s="132"/>
      <x:c r="J2" s="132"/>
      <x:c r="K2" s="132"/>
      <x:c r="L2" s="132"/>
      <x:c r="M2" s="132"/>
    </x:row>
    <x:row r="3" ht="34" customHeight="1">
      <x:c r="A3" s="164" t="str">
        <x:v>Review each deliverable below. Use the yellow columns to set the client priority, request another phase, record a decision, or add comments. Phase changes remain subject to dependency review.</x:v>
      </x:c>
      <x:c r="B3" s="164"/>
      <x:c r="C3" s="164"/>
      <x:c r="D3" s="164"/>
      <x:c r="E3" s="164"/>
      <x:c r="F3" s="164"/>
      <x:c r="G3" s="164"/>
      <x:c r="H3" s="164"/>
      <x:c r="I3" s="164"/>
      <x:c r="J3" s="164"/>
      <x:c r="K3" s="164"/>
      <x:c r="L3" s="164"/>
      <x:c r="M3" s="164"/>
    </x:row>
    <x:row r="4">
      <x:c r="A4" s="133"/>
      <x:c r="B4" s="133"/>
      <x:c r="C4" s="133"/>
      <x:c r="D4" s="133"/>
      <x:c r="E4" s="133"/>
      <x:c r="F4" s="133"/>
      <x:c r="G4" s="133"/>
      <x:c r="H4" s="133"/>
      <x:c r="I4" s="133"/>
      <x:c r="J4" s="133"/>
      <x:c r="K4" s="133"/>
      <x:c r="L4" s="133"/>
      <x:c r="M4" s="133"/>
    </x:row>
    <x:row r="5">
      <x:c r="A5" s="174" t="str">
        <x:v>Original phase</x:v>
      </x:c>
      <x:c r="B5" s="175" t="str">
        <x:v>Phase 5 — Changes, Cancellations, Exchanges, and Refunds</x:v>
      </x:c>
      <x:c r="C5" s="175"/>
      <x:c r="D5" s="176" t="str">
        <x:v>Recommended sequence</x:v>
      </x:c>
      <x:c r="E5" s="175" t="str">
        <x:v>Requires booking and ticket history, authorization controls, payment confirmation, and ticketing capabilities from earlier phases.</x:v>
      </x:c>
      <x:c r="F5" s="175"/>
      <x:c r="G5" s="175"/>
      <x:c r="H5" s="175"/>
      <x:c r="I5" s="175"/>
      <x:c r="J5" s="175"/>
      <x:c r="K5" s="175"/>
      <x:c r="L5" s="175"/>
      <x:c r="M5" s="177"/>
    </x:row>
    <x:row r="6" ht="32" customHeight="1">
      <x:c r="A6" s="142" t="str">
        <x:v>Item ID</x:v>
      </x:c>
      <x:c r="B6" s="143" t="str">
        <x:v>Current Phase</x:v>
      </x:c>
      <x:c r="C6" s="143" t="str">
        <x:v>Phase Name</x:v>
      </x:c>
      <x:c r="D6" s="143" t="str">
        <x:v>What users will be able to do</x:v>
      </x:c>
      <x:c r="E6" s="143" t="str">
        <x:v>Expected outcome</x:v>
      </x:c>
      <x:c r="F6" s="143" t="str">
        <x:v>Primary role(s)</x:v>
      </x:c>
      <x:c r="G6" s="143" t="str">
        <x:v>Recommended priority</x:v>
      </x:c>
      <x:c r="H6" s="143" t="str">
        <x:v>Client priority</x:v>
      </x:c>
      <x:c r="I6" s="143" t="str">
        <x:v>Requested phase</x:v>
      </x:c>
      <x:c r="J6" s="143" t="str">
        <x:v>Dependency / sequencing note</x:v>
      </x:c>
      <x:c r="K6" s="143" t="str">
        <x:v>Client decision</x:v>
      </x:c>
      <x:c r="L6" s="143" t="str">
        <x:v>Project team review</x:v>
      </x:c>
      <x:c r="M6" s="144" t="str">
        <x:v>Client comments</x:v>
      </x:c>
    </x:row>
    <x:row r="7" ht="64" customHeight="1">
      <x:c r="A7" s="165" t="str">
        <x:v>P5-01</x:v>
      </x:c>
      <x:c r="B7" s="165" t="str">
        <x:v>Phase 5</x:v>
      </x:c>
      <x:c r="C7" s="165" t="str">
        <x:v>Changes, Cancellations, Exchanges, and Refunds</x:v>
      </x:c>
      <x:c r="D7" s="145" t="str">
        <x:v>Create a change, cancellation, exchange, or refund request from the original booking.</x:v>
      </x:c>
      <x:c r="E7" s="145" t="str">
        <x:v>Post-ticketing changes and financial consequences are handled through a controlled, auditable process with client approval.</x:v>
      </x:c>
      <x:c r="F7" s="145" t="str">
        <x:v>Ticketing Agent; Finance User; Supervisor / Manager</x:v>
      </x:c>
      <x:c r="G7" s="178" t="str">
        <x:v>High</x:v>
      </x:c>
      <x:c r="H7" s="166" t="str">
        <x:v>To Be Confirmed</x:v>
      </x:c>
      <x:c r="I7" s="166" t="str">
        <x:v>Phase 5 — Changes, Cancellations, Exchanges, and Refunds</x:v>
      </x:c>
      <x:c r="J7" s="145" t="str">
        <x:v>Requires booking and ticket history, authorization controls, payment confirmation, and ticketing capabilities from earlier phases.</x:v>
      </x:c>
      <x:c r="K7" s="166" t="str">
        <x:v>Keep as proposed</x:v>
      </x:c>
      <x:c r="L7" s="167" t="str">
        <x:v>Pending project review</x:v>
      </x:c>
      <x:c r="M7" s="166" t="str"/>
    </x:row>
    <x:row r="8" ht="64" customHeight="1">
      <x:c r="A8" s="168" t="str">
        <x:v>P5-02</x:v>
      </x:c>
      <x:c r="B8" s="168" t="str">
        <x:v>Phase 5</x:v>
      </x:c>
      <x:c r="C8" s="168" t="str">
        <x:v>Changes, Cancellations, Exchanges, and Refunds</x:v>
      </x:c>
      <x:c r="D8" s="147" t="str">
        <x:v>Select the affected travellers, tickets, and flight segments.</x:v>
      </x:c>
      <x:c r="E8" s="147" t="str">
        <x:v>Post-ticketing changes and financial consequences are handled through a controlled, auditable process with client approval.</x:v>
      </x:c>
      <x:c r="F8" s="147" t="str">
        <x:v>Travel Agent; Ticketing Agent; Supervisor / Manager</x:v>
      </x:c>
      <x:c r="G8" s="179" t="str">
        <x:v>High</x:v>
      </x:c>
      <x:c r="H8" s="169" t="str">
        <x:v>To Be Confirmed</x:v>
      </x:c>
      <x:c r="I8" s="169" t="str">
        <x:v>Phase 5 — Changes, Cancellations, Exchanges, and Refunds</x:v>
      </x:c>
      <x:c r="J8" s="147" t="str">
        <x:v>Requires booking and ticket history, authorization controls, payment confirmation, and ticketing capabilities from earlier phases.</x:v>
      </x:c>
      <x:c r="K8" s="169" t="str">
        <x:v>Keep as proposed</x:v>
      </x:c>
      <x:c r="L8" s="170" t="str">
        <x:v>Pending project review</x:v>
      </x:c>
      <x:c r="M8" s="169" t="str"/>
    </x:row>
    <x:row r="9" ht="64" customHeight="1">
      <x:c r="A9" s="168" t="str">
        <x:v>P5-03</x:v>
      </x:c>
      <x:c r="B9" s="168" t="str">
        <x:v>Phase 5</x:v>
      </x:c>
      <x:c r="C9" s="168" t="str">
        <x:v>Changes, Cancellations, Exchanges, and Refunds</x:v>
      </x:c>
      <x:c r="D9" s="147" t="str">
        <x:v>Review whether a ticket is unused, partially used, refundable, or restricted.</x:v>
      </x:c>
      <x:c r="E9" s="147" t="str">
        <x:v>Post-ticketing changes and financial consequences are handled through a controlled, auditable process with client approval.</x:v>
      </x:c>
      <x:c r="F9" s="147" t="str">
        <x:v>Ticketing Agent; Finance User; Supervisor / Manager</x:v>
      </x:c>
      <x:c r="G9" s="179" t="str">
        <x:v>High</x:v>
      </x:c>
      <x:c r="H9" s="169" t="str">
        <x:v>To Be Confirmed</x:v>
      </x:c>
      <x:c r="I9" s="169" t="str">
        <x:v>Phase 5 — Changes, Cancellations, Exchanges, and Refunds</x:v>
      </x:c>
      <x:c r="J9" s="147" t="str">
        <x:v>Requires booking and ticket history, authorization controls, payment confirmation, and ticketing capabilities from earlier phases.</x:v>
      </x:c>
      <x:c r="K9" s="169" t="str">
        <x:v>Keep as proposed</x:v>
      </x:c>
      <x:c r="L9" s="170" t="str">
        <x:v>Pending project review</x:v>
      </x:c>
      <x:c r="M9" s="169" t="str"/>
    </x:row>
    <x:row r="10" ht="64" customHeight="1">
      <x:c r="A10" s="168" t="str">
        <x:v>P5-04</x:v>
      </x:c>
      <x:c r="B10" s="168" t="str">
        <x:v>Phase 5</x:v>
      </x:c>
      <x:c r="C10" s="168" t="str">
        <x:v>Changes, Cancellations, Exchanges, and Refunds</x:v>
      </x:c>
      <x:c r="D10" s="147" t="str">
        <x:v>Compare replacement flight options and calculate fare differences, taxes, penalties, and other amounts due.</x:v>
      </x:c>
      <x:c r="E10" s="147" t="str">
        <x:v>Post-ticketing changes and financial consequences are handled through a controlled, auditable process with client approval.</x:v>
      </x:c>
      <x:c r="F10" s="147" t="str">
        <x:v>Travel Agent; Ticketing Agent; Supervisor / Manager</x:v>
      </x:c>
      <x:c r="G10" s="179" t="str">
        <x:v>High</x:v>
      </x:c>
      <x:c r="H10" s="169" t="str">
        <x:v>To Be Confirmed</x:v>
      </x:c>
      <x:c r="I10" s="169" t="str">
        <x:v>Phase 5 — Changes, Cancellations, Exchanges, and Refunds</x:v>
      </x:c>
      <x:c r="J10" s="147" t="str">
        <x:v>Requires booking and ticket history, authorization controls, payment confirmation, and ticketing capabilities from earlier phases.</x:v>
      </x:c>
      <x:c r="K10" s="169" t="str">
        <x:v>Keep as proposed</x:v>
      </x:c>
      <x:c r="L10" s="170" t="str">
        <x:v>Pending project review</x:v>
      </x:c>
      <x:c r="M10" s="169" t="str"/>
    </x:row>
    <x:row r="11" ht="64" customHeight="1">
      <x:c r="A11" s="168" t="str">
        <x:v>P5-05</x:v>
      </x:c>
      <x:c r="B11" s="168" t="str">
        <x:v>Phase 5</x:v>
      </x:c>
      <x:c r="C11" s="168" t="str">
        <x:v>Changes, Cancellations, Exchanges, and Refunds</x:v>
      </x:c>
      <x:c r="D11" s="147" t="str">
        <x:v>Prepare a clear client explanation showing the available options and costs.</x:v>
      </x:c>
      <x:c r="E11" s="147" t="str">
        <x:v>Post-ticketing changes and financial consequences are handled through a controlled, auditable process with client approval.</x:v>
      </x:c>
      <x:c r="F11" s="147" t="str">
        <x:v>Travel Agent; Ticketing Agent; Supervisor / Manager</x:v>
      </x:c>
      <x:c r="G11" s="179" t="str">
        <x:v>High</x:v>
      </x:c>
      <x:c r="H11" s="169" t="str">
        <x:v>To Be Confirmed</x:v>
      </x:c>
      <x:c r="I11" s="169" t="str">
        <x:v>Phase 5 — Changes, Cancellations, Exchanges, and Refunds</x:v>
      </x:c>
      <x:c r="J11" s="147" t="str">
        <x:v>Requires booking and ticket history, authorization controls, payment confirmation, and ticketing capabilities from earlier phases.</x:v>
      </x:c>
      <x:c r="K11" s="169" t="str">
        <x:v>Keep as proposed</x:v>
      </x:c>
      <x:c r="L11" s="170" t="str">
        <x:v>Pending project review</x:v>
      </x:c>
      <x:c r="M11" s="169" t="str"/>
    </x:row>
    <x:row r="12" ht="64" customHeight="1">
      <x:c r="A12" s="168" t="str">
        <x:v>P5-06</x:v>
      </x:c>
      <x:c r="B12" s="168" t="str">
        <x:v>Phase 5</x:v>
      </x:c>
      <x:c r="C12" s="168" t="str">
        <x:v>Changes, Cancellations, Exchanges, and Refunds</x:v>
      </x:c>
      <x:c r="D12" s="147" t="str">
        <x:v>Record the client’s approval before a sensitive action is performed.</x:v>
      </x:c>
      <x:c r="E12" s="147" t="str">
        <x:v>Post-ticketing changes and financial consequences are handled through a controlled, auditable process with client approval.</x:v>
      </x:c>
      <x:c r="F12" s="147" t="str">
        <x:v>Travel Agent; Ticketing Agent; Supervisor / Manager</x:v>
      </x:c>
      <x:c r="G12" s="179" t="str">
        <x:v>High</x:v>
      </x:c>
      <x:c r="H12" s="169" t="str">
        <x:v>To Be Confirmed</x:v>
      </x:c>
      <x:c r="I12" s="169" t="str">
        <x:v>Phase 5 — Changes, Cancellations, Exchanges, and Refunds</x:v>
      </x:c>
      <x:c r="J12" s="147" t="str">
        <x:v>Requires booking and ticket history, authorization controls, payment confirmation, and ticketing capabilities from earlier phases.</x:v>
      </x:c>
      <x:c r="K12" s="169" t="str">
        <x:v>Keep as proposed</x:v>
      </x:c>
      <x:c r="L12" s="170" t="str">
        <x:v>Pending project review</x:v>
      </x:c>
      <x:c r="M12" s="169" t="str"/>
    </x:row>
    <x:row r="13" ht="64" customHeight="1">
      <x:c r="A13" s="168" t="str">
        <x:v>P5-07</x:v>
      </x:c>
      <x:c r="B13" s="168" t="str">
        <x:v>Phase 5</x:v>
      </x:c>
      <x:c r="C13" s="168" t="str">
        <x:v>Changes, Cancellations, Exchanges, and Refunds</x:v>
      </x:c>
      <x:c r="D13" s="147" t="str">
        <x:v>Collect and confirm any additional payment before reissuing a ticket.</x:v>
      </x:c>
      <x:c r="E13" s="147" t="str">
        <x:v>Post-ticketing changes and financial consequences are handled through a controlled, auditable process with client approval.</x:v>
      </x:c>
      <x:c r="F13" s="147" t="str">
        <x:v>Ticketing Agent; Finance User; Supervisor / Manager</x:v>
      </x:c>
      <x:c r="G13" s="179" t="str">
        <x:v>High</x:v>
      </x:c>
      <x:c r="H13" s="169" t="str">
        <x:v>To Be Confirmed</x:v>
      </x:c>
      <x:c r="I13" s="169" t="str">
        <x:v>Phase 5 — Changes, Cancellations, Exchanges, and Refunds</x:v>
      </x:c>
      <x:c r="J13" s="147" t="str">
        <x:v>Requires booking and ticket history, authorization controls, payment confirmation, and ticketing capabilities from earlier phases.</x:v>
      </x:c>
      <x:c r="K13" s="169" t="str">
        <x:v>Keep as proposed</x:v>
      </x:c>
      <x:c r="L13" s="170" t="str">
        <x:v>Pending project review</x:v>
      </x:c>
      <x:c r="M13" s="169" t="str"/>
    </x:row>
    <x:row r="14" ht="64" customHeight="1">
      <x:c r="A14" s="168" t="str">
        <x:v>P5-08</x:v>
      </x:c>
      <x:c r="B14" s="168" t="str">
        <x:v>Phase 5</x:v>
      </x:c>
      <x:c r="C14" s="168" t="str">
        <x:v>Changes, Cancellations, Exchanges, and Refunds</x:v>
      </x:c>
      <x:c r="D14" s="147" t="str">
        <x:v>Allow only authorized staff to reissue, void, cancel, or refund a ticket.</x:v>
      </x:c>
      <x:c r="E14" s="147" t="str">
        <x:v>Post-ticketing changes and financial consequences are handled through a controlled, auditable process with client approval.</x:v>
      </x:c>
      <x:c r="F14" s="147" t="str">
        <x:v>Ticketing Agent; Finance User; Supervisor / Manager</x:v>
      </x:c>
      <x:c r="G14" s="179" t="str">
        <x:v>High</x:v>
      </x:c>
      <x:c r="H14" s="169" t="str">
        <x:v>To Be Confirmed</x:v>
      </x:c>
      <x:c r="I14" s="169" t="str">
        <x:v>Phase 5 — Changes, Cancellations, Exchanges, and Refunds</x:v>
      </x:c>
      <x:c r="J14" s="147" t="str">
        <x:v>Requires booking and ticket history, authorization controls, payment confirmation, and ticketing capabilities from earlier phases.</x:v>
      </x:c>
      <x:c r="K14" s="169" t="str">
        <x:v>Keep as proposed</x:v>
      </x:c>
      <x:c r="L14" s="170" t="str">
        <x:v>Pending project review</x:v>
      </x:c>
      <x:c r="M14" s="169" t="str"/>
    </x:row>
    <x:row r="15" ht="64" customHeight="1">
      <x:c r="A15" s="168" t="str">
        <x:v>P5-09</x:v>
      </x:c>
      <x:c r="B15" s="168" t="str">
        <x:v>Phase 5</x:v>
      </x:c>
      <x:c r="C15" s="168" t="str">
        <x:v>Changes, Cancellations, Exchanges, and Refunds</x:v>
      </x:c>
      <x:c r="D15" s="147" t="str">
        <x:v>Keep the original and replacement tickets connected so the complete history is easy to follow.</x:v>
      </x:c>
      <x:c r="E15" s="147" t="str">
        <x:v>Post-ticketing changes and financial consequences are handled through a controlled, auditable process with client approval.</x:v>
      </x:c>
      <x:c r="F15" s="147" t="str">
        <x:v>Travel Agent; Ticketing Agent; Supervisor / Manager</x:v>
      </x:c>
      <x:c r="G15" s="179" t="str">
        <x:v>High</x:v>
      </x:c>
      <x:c r="H15" s="169" t="str">
        <x:v>To Be Confirmed</x:v>
      </x:c>
      <x:c r="I15" s="169" t="str">
        <x:v>Phase 5 — Changes, Cancellations, Exchanges, and Refunds</x:v>
      </x:c>
      <x:c r="J15" s="147" t="str">
        <x:v>Requires booking and ticket history, authorization controls, payment confirmation, and ticketing capabilities from earlier phases.</x:v>
      </x:c>
      <x:c r="K15" s="169" t="str">
        <x:v>Keep as proposed</x:v>
      </x:c>
      <x:c r="L15" s="170" t="str">
        <x:v>Pending project review</x:v>
      </x:c>
      <x:c r="M15" s="169" t="str"/>
    </x:row>
    <x:row r="16" ht="64" customHeight="1">
      <x:c r="A16" s="168" t="str">
        <x:v>P5-10</x:v>
      </x:c>
      <x:c r="B16" s="168" t="str">
        <x:v>Phase 5</x:v>
      </x:c>
      <x:c r="C16" s="168" t="str">
        <x:v>Changes, Cancellations, Exchanges, and Refunds</x:v>
      </x:c>
      <x:c r="D16" s="147" t="str">
        <x:v>Track client refunds, airline refunds, credit memos, residual value, vouchers, EMDs, waivers, and related accounting references.</x:v>
      </x:c>
      <x:c r="E16" s="147" t="str">
        <x:v>Post-ticketing changes and financial consequences are handled through a controlled, auditable process with client approval.</x:v>
      </x:c>
      <x:c r="F16" s="147" t="str">
        <x:v>Ticketing Agent; Finance User; Supervisor / Manager</x:v>
      </x:c>
      <x:c r="G16" s="179" t="str">
        <x:v>High</x:v>
      </x:c>
      <x:c r="H16" s="169" t="str">
        <x:v>To Be Confirmed</x:v>
      </x:c>
      <x:c r="I16" s="169" t="str">
        <x:v>Phase 5 — Changes, Cancellations, Exchanges, and Refunds</x:v>
      </x:c>
      <x:c r="J16" s="147" t="str">
        <x:v>Requires booking and ticket history, authorization controls, payment confirmation, and ticketing capabilities from earlier phases.</x:v>
      </x:c>
      <x:c r="K16" s="169" t="str">
        <x:v>Keep as proposed</x:v>
      </x:c>
      <x:c r="L16" s="170" t="str">
        <x:v>Pending project review</x:v>
      </x:c>
      <x:c r="M16" s="169" t="str"/>
    </x:row>
    <x:row r="17" ht="64" customHeight="1">
      <x:c r="A17" s="180" t="str">
        <x:v>P5-11</x:v>
      </x:c>
      <x:c r="B17" s="180" t="str">
        <x:v>Phase 5</x:v>
      </x:c>
      <x:c r="C17" s="180" t="str">
        <x:v>Changes, Cancellations, Exchanges, and Refunds</x:v>
      </x:c>
      <x:c r="D17" s="181" t="str">
        <x:v>Prevent duplicate refunds and show cases that still need reconciliation.</x:v>
      </x:c>
      <x:c r="E17" s="181" t="str">
        <x:v>Post-ticketing changes and financial consequences are handled through a controlled, auditable process with client approval.</x:v>
      </x:c>
      <x:c r="F17" s="181" t="str">
        <x:v>Ticketing Agent; Finance User; Supervisor / Manager</x:v>
      </x:c>
      <x:c r="G17" s="182" t="str">
        <x:v>High</x:v>
      </x:c>
      <x:c r="H17" s="183" t="str">
        <x:v>To Be Confirmed</x:v>
      </x:c>
      <x:c r="I17" s="183" t="str">
        <x:v>Phase 5 — Changes, Cancellations, Exchanges, and Refunds</x:v>
      </x:c>
      <x:c r="J17" s="181" t="str">
        <x:v>Requires booking and ticket history, authorization controls, payment confirmation, and ticketing capabilities from earlier phases.</x:v>
      </x:c>
      <x:c r="K17" s="183" t="str">
        <x:v>Keep as proposed</x:v>
      </x:c>
      <x:c r="L17" s="184" t="str">
        <x:v>Pending project review</x:v>
      </x:c>
      <x:c r="M17" s="183" t="str"/>
    </x:row>
  </x:sheetData>
  <x:mergeCells>
    <x:mergeCell ref="A1:M1"/>
    <x:mergeCell ref="A2:M2"/>
    <x:mergeCell ref="A3:M3"/>
    <x:mergeCell ref="E5:M5"/>
  </x:mergeCells>
  <x:conditionalFormatting sqref="H7:H17">
    <x:cfRule type="containsText" dxfId="40" priority="1" operator="containsText" text="Must Have"/>
    <x:cfRule type="containsText" dxfId="41" priority="2" operator="containsText" text="High"/>
    <x:cfRule type="containsText" dxfId="42" priority="3" operator="containsText" text="Medium"/>
    <x:cfRule type="containsText" dxfId="43" priority="4" operator="containsText" text="Low"/>
    <x:cfRule type="containsText" dxfId="44" priority="5" operator="containsText" text="Future"/>
    <x:cfRule type="containsText" dxfId="45" priority="6" operator="containsText" text="Remove"/>
  </x:conditionalFormatting>
  <x:conditionalFormatting sqref="K7:K17">
    <x:cfRule type="containsText" dxfId="46" priority="7" operator="containsText" text="Move"/>
    <x:cfRule type="containsText" dxfId="47" priority="8" operator="containsText" text="Remove"/>
    <x:cfRule type="containsText" dxfId="48" priority="9" operator="containsText" text="Needs discussion"/>
    <x:cfRule type="containsText" dxfId="49" priority="10" operator="containsText" text="Keep"/>
  </x:conditionalFormatting>
  <x:dataValidations count="4">
    <x:dataValidation type="list" sqref="H7:H17">
      <x:formula1>"Must Have,High,Medium,Low,Future,Remove,To Be Confirmed"</x:formula1>
    </x:dataValidation>
    <x:dataValidation type="list" sqref="I7:I17">
      <x:formula1>"Phase 1 — Client Intake and Daily Work Management,Phase 2 — Flight Research, Quotes, Payment, and Booking,Phase 3 — Sabre Connection and Ticketing,Phase 4 — Active Trip Support,Phase 5 — Changes, Cancellations, Exchanges, and Refunds,Phase 6 — Finance, Hotels, and Supporting Services,Phase 7 — Fare Optimization and Assisted Recommendations,Phase 8 — Client Self-Service and Management Visibility"</x:formula1>
    </x:dataValidation>
    <x:dataValidation type="list" sqref="K7:K17">
      <x:formula1>"Keep as proposed,Move to requested phase,Defer,Remove,Needs discussion"</x:formula1>
    </x:dataValidation>
    <x:dataValidation type="list" sqref="L7:L17">
      <x:formula1>"Pending project review,Can move freely,Can move with dependencies,Should not move earlier"</x:formula1>
    </x:dataValidation>
  </x:dataValidations>
  <x:pageMargins left="0.7" right="0.7" top="0.75" bottom="0.75" header="0.3" footer="0.3"/>
  <x:legacyDrawing xmlns:r="http://schemas.openxmlformats.org/officeDocument/2006/relationships" r:id="R12701d93d5ac4959"/>
  <x:tableParts count="1">
    <x:tablePart xmlns:r="http://schemas.openxmlformats.org/officeDocument/2006/relationships" r:id="R33a3fb440af24ba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34" hidden="0" customWidth="1"/>
    <x:col min="4" max="4" width="62" hidden="0" customWidth="1"/>
    <x:col min="5" max="5" width="44" hidden="0" customWidth="1"/>
    <x:col min="6" max="6" width="30" hidden="0" customWidth="1"/>
    <x:col min="7" max="7" width="20" hidden="0" customWidth="1"/>
    <x:col min="8" max="8" width="20" hidden="0" customWidth="1"/>
    <x:col min="9" max="9" width="42" hidden="0" customWidth="1"/>
    <x:col min="10" max="10" width="46" hidden="0" customWidth="1"/>
    <x:col min="11" max="11" width="24" hidden="0" customWidth="1"/>
    <x:col min="12" max="12" width="28" hidden="0" customWidth="1"/>
    <x:col min="13" max="13" width="42" hidden="0" customWidth="1"/>
  </x:cols>
  <x:sheetData>
    <x:row r="1" ht="32" customHeight="1">
      <x:c r="A1" s="131" t="str">
        <x:v>Phase 6 — Finance, Hotels, and Supporting Services</x:v>
      </x:c>
      <x:c r="B1" s="131"/>
      <x:c r="C1" s="131"/>
      <x:c r="D1" s="131"/>
      <x:c r="E1" s="131"/>
      <x:c r="F1" s="131"/>
      <x:c r="G1" s="131"/>
      <x:c r="H1" s="131"/>
      <x:c r="I1" s="131"/>
      <x:c r="J1" s="131"/>
      <x:c r="K1" s="131"/>
      <x:c r="L1" s="131"/>
      <x:c r="M1" s="131"/>
    </x:row>
    <x:row r="2" ht="34" customHeight="1">
      <x:c r="A2" s="132" t="str">
        <x:v>Operational, financial, hotel, insurance, and supporting-service information is connected and easier to reconcile.</x:v>
      </x:c>
      <x:c r="B2" s="132"/>
      <x:c r="C2" s="132"/>
      <x:c r="D2" s="132"/>
      <x:c r="E2" s="132"/>
      <x:c r="F2" s="132"/>
      <x:c r="G2" s="132"/>
      <x:c r="H2" s="132"/>
      <x:c r="I2" s="132"/>
      <x:c r="J2" s="132"/>
      <x:c r="K2" s="132"/>
      <x:c r="L2" s="132"/>
      <x:c r="M2" s="132"/>
    </x:row>
    <x:row r="3" ht="34" customHeight="1">
      <x:c r="A3" s="164" t="str">
        <x:v>Review each deliverable below. Use the yellow columns to set the client priority, request another phase, record a decision, or add comments. Phase changes remain subject to dependency review.</x:v>
      </x:c>
      <x:c r="B3" s="164"/>
      <x:c r="C3" s="164"/>
      <x:c r="D3" s="164"/>
      <x:c r="E3" s="164"/>
      <x:c r="F3" s="164"/>
      <x:c r="G3" s="164"/>
      <x:c r="H3" s="164"/>
      <x:c r="I3" s="164"/>
      <x:c r="J3" s="164"/>
      <x:c r="K3" s="164"/>
      <x:c r="L3" s="164"/>
      <x:c r="M3" s="164"/>
    </x:row>
    <x:row r="4">
      <x:c r="A4" s="133"/>
      <x:c r="B4" s="133"/>
      <x:c r="C4" s="133"/>
      <x:c r="D4" s="133"/>
      <x:c r="E4" s="133"/>
      <x:c r="F4" s="133"/>
      <x:c r="G4" s="133"/>
      <x:c r="H4" s="133"/>
      <x:c r="I4" s="133"/>
      <x:c r="J4" s="133"/>
      <x:c r="K4" s="133"/>
      <x:c r="L4" s="133"/>
      <x:c r="M4" s="133"/>
    </x:row>
    <x:row r="5">
      <x:c r="A5" s="174" t="str">
        <x:v>Original phase</x:v>
      </x:c>
      <x:c r="B5" s="175" t="str">
        <x:v>Phase 6 — Finance, Hotels, and Supporting Services</x:v>
      </x:c>
      <x:c r="C5" s="175"/>
      <x:c r="D5" s="176" t="str">
        <x:v>Recommended sequence</x:v>
      </x:c>
      <x:c r="E5" s="175" t="str">
        <x:v>Requires confirmation of QuickBooks Online versus Desktop, supported integration options, hotel processes, and financial approval rules.</x:v>
      </x:c>
      <x:c r="F5" s="175"/>
      <x:c r="G5" s="175"/>
      <x:c r="H5" s="175"/>
      <x:c r="I5" s="175"/>
      <x:c r="J5" s="175"/>
      <x:c r="K5" s="175"/>
      <x:c r="L5" s="175"/>
      <x:c r="M5" s="177"/>
    </x:row>
    <x:row r="6" ht="32" customHeight="1">
      <x:c r="A6" s="142" t="str">
        <x:v>Item ID</x:v>
      </x:c>
      <x:c r="B6" s="143" t="str">
        <x:v>Current Phase</x:v>
      </x:c>
      <x:c r="C6" s="143" t="str">
        <x:v>Phase Name</x:v>
      </x:c>
      <x:c r="D6" s="143" t="str">
        <x:v>What users will be able to do</x:v>
      </x:c>
      <x:c r="E6" s="143" t="str">
        <x:v>Expected outcome</x:v>
      </x:c>
      <x:c r="F6" s="143" t="str">
        <x:v>Primary role(s)</x:v>
      </x:c>
      <x:c r="G6" s="143" t="str">
        <x:v>Recommended priority</x:v>
      </x:c>
      <x:c r="H6" s="143" t="str">
        <x:v>Client priority</x:v>
      </x:c>
      <x:c r="I6" s="143" t="str">
        <x:v>Requested phase</x:v>
      </x:c>
      <x:c r="J6" s="143" t="str">
        <x:v>Dependency / sequencing note</x:v>
      </x:c>
      <x:c r="K6" s="143" t="str">
        <x:v>Client decision</x:v>
      </x:c>
      <x:c r="L6" s="143" t="str">
        <x:v>Project team review</x:v>
      </x:c>
      <x:c r="M6" s="144" t="str">
        <x:v>Client comments</x:v>
      </x:c>
    </x:row>
    <x:row r="7" ht="64" customHeight="1">
      <x:c r="A7" s="165" t="str">
        <x:v>P6-01</x:v>
      </x:c>
      <x:c r="B7" s="165" t="str">
        <x:v>Phase 6</x:v>
      </x:c>
      <x:c r="C7" s="165" t="str">
        <x:v>Finance, Hotels, and Supporting Services</x:v>
      </x:c>
      <x:c r="D7" s="145" t="str">
        <x:v>Keep booking, invoice, payment, ticket, refund, and credit information connected.</x:v>
      </x:c>
      <x:c r="E7" s="145" t="str">
        <x:v>Operational, financial, hotel, insurance, and supporting-service information is connected and easier to reconcile.</x:v>
      </x:c>
      <x:c r="F7" s="145" t="str">
        <x:v>Finance User; Supervisor / Manager</x:v>
      </x:c>
      <x:c r="G7" s="178" t="str">
        <x:v>Medium</x:v>
      </x:c>
      <x:c r="H7" s="166" t="str">
        <x:v>To Be Confirmed</x:v>
      </x:c>
      <x:c r="I7" s="166" t="str">
        <x:v>Phase 6 — Finance, Hotels, and Supporting Services</x:v>
      </x:c>
      <x:c r="J7" s="145" t="str">
        <x:v>Requires confirmation of QuickBooks Online versus Desktop, supported integration options, hotel processes, and financial approval rules.</x:v>
      </x:c>
      <x:c r="K7" s="166" t="str">
        <x:v>Keep as proposed</x:v>
      </x:c>
      <x:c r="L7" s="167" t="str">
        <x:v>Pending project review</x:v>
      </x:c>
      <x:c r="M7" s="166" t="str"/>
    </x:row>
    <x:row r="8" ht="64" customHeight="1">
      <x:c r="A8" s="168" t="str">
        <x:v>P6-02</x:v>
      </x:c>
      <x:c r="B8" s="168" t="str">
        <x:v>Phase 6</x:v>
      </x:c>
      <x:c r="C8" s="168" t="str">
        <x:v>Finance, Hotels, and Supporting Services</x:v>
      </x:c>
      <x:c r="D8" s="147" t="str">
        <x:v>See unpaid amounts, missing payment references, and operational records that do not match the accounting records.</x:v>
      </x:c>
      <x:c r="E8" s="147" t="str">
        <x:v>Operational, financial, hotel, insurance, and supporting-service information is connected and easier to reconcile.</x:v>
      </x:c>
      <x:c r="F8" s="147" t="str">
        <x:v>Finance User; Supervisor / Manager</x:v>
      </x:c>
      <x:c r="G8" s="179" t="str">
        <x:v>Medium</x:v>
      </x:c>
      <x:c r="H8" s="169" t="str">
        <x:v>To Be Confirmed</x:v>
      </x:c>
      <x:c r="I8" s="169" t="str">
        <x:v>Phase 6 — Finance, Hotels, and Supporting Services</x:v>
      </x:c>
      <x:c r="J8" s="147" t="str">
        <x:v>Requires confirmation of QuickBooks Online versus Desktop, supported integration options, hotel processes, and financial approval rules.</x:v>
      </x:c>
      <x:c r="K8" s="169" t="str">
        <x:v>Keep as proposed</x:v>
      </x:c>
      <x:c r="L8" s="170" t="str">
        <x:v>Pending project review</x:v>
      </x:c>
      <x:c r="M8" s="169" t="str"/>
    </x:row>
    <x:row r="9" ht="64" customHeight="1">
      <x:c r="A9" s="168" t="str">
        <x:v>P6-03</x:v>
      </x:c>
      <x:c r="B9" s="168" t="str">
        <x:v>Phase 6</x:v>
      </x:c>
      <x:c r="C9" s="168" t="str">
        <x:v>Finance, Hotels, and Supporting Services</x:v>
      </x:c>
      <x:c r="D9" s="147" t="str">
        <x:v>Confirm whether YB Travel uses QuickBooks Online or QuickBooks Desktop and validate the available integration method.</x:v>
      </x:c>
      <x:c r="E9" s="147" t="str">
        <x:v>Operational, financial, hotel, insurance, and supporting-service information is connected and easier to reconcile.</x:v>
      </x:c>
      <x:c r="F9" s="147" t="str">
        <x:v>Finance User; Supervisor / Manager</x:v>
      </x:c>
      <x:c r="G9" s="179" t="str">
        <x:v>Medium</x:v>
      </x:c>
      <x:c r="H9" s="169" t="str">
        <x:v>To Be Confirmed</x:v>
      </x:c>
      <x:c r="I9" s="169" t="str">
        <x:v>Phase 6 — Finance, Hotels, and Supporting Services</x:v>
      </x:c>
      <x:c r="J9" s="147" t="str">
        <x:v>Requires confirmation of QuickBooks Online versus Desktop, supported integration options, hotel processes, and financial approval rules.</x:v>
      </x:c>
      <x:c r="K9" s="169" t="str">
        <x:v>Keep as proposed</x:v>
      </x:c>
      <x:c r="L9" s="170" t="str">
        <x:v>Pending project review</x:v>
      </x:c>
      <x:c r="M9" s="169" t="str"/>
    </x:row>
    <x:row r="10" ht="64" customHeight="1">
      <x:c r="A10" s="168" t="str">
        <x:v>P6-04</x:v>
      </x:c>
      <x:c r="B10" s="168" t="str">
        <x:v>Phase 6</x:v>
      </x:c>
      <x:c r="C10" s="168" t="str">
        <x:v>Finance, Hotels, and Supporting Services</x:v>
      </x:c>
      <x:c r="D10" s="147" t="str">
        <x:v>Create or update approved QuickBooks transactions through a controlled review process after the integration method is confirmed.</x:v>
      </x:c>
      <x:c r="E10" s="147" t="str">
        <x:v>Operational, financial, hotel, insurance, and supporting-service information is connected and easier to reconcile.</x:v>
      </x:c>
      <x:c r="F10" s="147" t="str">
        <x:v>Finance User; Supervisor / Manager</x:v>
      </x:c>
      <x:c r="G10" s="179" t="str">
        <x:v>Medium</x:v>
      </x:c>
      <x:c r="H10" s="169" t="str">
        <x:v>To Be Confirmed</x:v>
      </x:c>
      <x:c r="I10" s="169" t="str">
        <x:v>Phase 6 — Finance, Hotels, and Supporting Services</x:v>
      </x:c>
      <x:c r="J10" s="147" t="str">
        <x:v>Requires confirmation of QuickBooks Online versus Desktop, supported integration options, hotel processes, and financial approval rules.</x:v>
      </x:c>
      <x:c r="K10" s="169" t="str">
        <x:v>Keep as proposed</x:v>
      </x:c>
      <x:c r="L10" s="170" t="str">
        <x:v>Pending project review</x:v>
      </x:c>
      <x:c r="M10" s="169" t="str"/>
    </x:row>
    <x:row r="11" ht="64" customHeight="1">
      <x:c r="A11" s="168" t="str">
        <x:v>P6-05</x:v>
      </x:c>
      <x:c r="B11" s="168" t="str">
        <x:v>Phase 6</x:v>
      </x:c>
      <x:c r="C11" s="168" t="str">
        <x:v>Finance, Hotels, and Supporting Services</x:v>
      </x:c>
      <x:c r="D11" s="147" t="str">
        <x:v>Track UATP value, usage, and remaining balances when it applies to a booking.</x:v>
      </x:c>
      <x:c r="E11" s="147" t="str">
        <x:v>Operational, financial, hotel, insurance, and supporting-service information is connected and easier to reconcile.</x:v>
      </x:c>
      <x:c r="F11" s="147" t="str">
        <x:v>Finance User; Supervisor / Manager</x:v>
      </x:c>
      <x:c r="G11" s="179" t="str">
        <x:v>Medium</x:v>
      </x:c>
      <x:c r="H11" s="169" t="str">
        <x:v>To Be Confirmed</x:v>
      </x:c>
      <x:c r="I11" s="169" t="str">
        <x:v>Phase 6 — Finance, Hotels, and Supporting Services</x:v>
      </x:c>
      <x:c r="J11" s="147" t="str">
        <x:v>Requires confirmation of QuickBooks Online versus Desktop, supported integration options, hotel processes, and financial approval rules.</x:v>
      </x:c>
      <x:c r="K11" s="169" t="str">
        <x:v>Keep as proposed</x:v>
      </x:c>
      <x:c r="L11" s="170" t="str">
        <x:v>Pending project review</x:v>
      </x:c>
      <x:c r="M11" s="169" t="str"/>
    </x:row>
    <x:row r="12" ht="64" customHeight="1">
      <x:c r="A12" s="168" t="str">
        <x:v>P6-06</x:v>
      </x:c>
      <x:c r="B12" s="168" t="str">
        <x:v>Phase 6</x:v>
      </x:c>
      <x:c r="C12" s="168" t="str">
        <x:v>Finance, Hotels, and Supporting Services</x:v>
      </x:c>
      <x:c r="D12" s="147" t="str">
        <x:v>Create a hotel request with destination, dates, guests, room needs, budget, and preferences.</x:v>
      </x:c>
      <x:c r="E12" s="147" t="str">
        <x:v>Operational, financial, hotel, insurance, and supporting-service information is connected and easier to reconcile.</x:v>
      </x:c>
      <x:c r="F12" s="147" t="str">
        <x:v>Travel Agent; Finance User</x:v>
      </x:c>
      <x:c r="G12" s="179" t="str">
        <x:v>Medium</x:v>
      </x:c>
      <x:c r="H12" s="169" t="str">
        <x:v>To Be Confirmed</x:v>
      </x:c>
      <x:c r="I12" s="169" t="str">
        <x:v>Phase 6 — Finance, Hotels, and Supporting Services</x:v>
      </x:c>
      <x:c r="J12" s="147" t="str">
        <x:v>Requires confirmation of QuickBooks Online versus Desktop, supported integration options, hotel processes, and financial approval rules.</x:v>
      </x:c>
      <x:c r="K12" s="169" t="str">
        <x:v>Keep as proposed</x:v>
      </x:c>
      <x:c r="L12" s="170" t="str">
        <x:v>Pending project review</x:v>
      </x:c>
      <x:c r="M12" s="169" t="str"/>
    </x:row>
    <x:row r="13" ht="64" customHeight="1">
      <x:c r="A13" s="168" t="str">
        <x:v>P6-07</x:v>
      </x:c>
      <x:c r="B13" s="168" t="str">
        <x:v>Phase 6</x:v>
      </x:c>
      <x:c r="C13" s="168" t="str">
        <x:v>Finance, Hotels, and Supporting Services</x:v>
      </x:c>
      <x:c r="D13" s="147" t="str">
        <x:v>Record hotel options, cancellation rules, supplier details, confirmation numbers, payment status, and commission.</x:v>
      </x:c>
      <x:c r="E13" s="147" t="str">
        <x:v>Operational, financial, hotel, insurance, and supporting-service information is connected and easier to reconcile.</x:v>
      </x:c>
      <x:c r="F13" s="147" t="str">
        <x:v>Travel Agent; Finance User</x:v>
      </x:c>
      <x:c r="G13" s="179" t="str">
        <x:v>Medium</x:v>
      </x:c>
      <x:c r="H13" s="169" t="str">
        <x:v>To Be Confirmed</x:v>
      </x:c>
      <x:c r="I13" s="169" t="str">
        <x:v>Phase 6 — Finance, Hotels, and Supporting Services</x:v>
      </x:c>
      <x:c r="J13" s="147" t="str">
        <x:v>Requires confirmation of QuickBooks Online versus Desktop, supported integration options, hotel processes, and financial approval rules.</x:v>
      </x:c>
      <x:c r="K13" s="169" t="str">
        <x:v>Keep as proposed</x:v>
      </x:c>
      <x:c r="L13" s="170" t="str">
        <x:v>Pending project review</x:v>
      </x:c>
      <x:c r="M13" s="169" t="str"/>
    </x:row>
    <x:row r="14" ht="64" customHeight="1">
      <x:c r="A14" s="168" t="str">
        <x:v>P6-08</x:v>
      </x:c>
      <x:c r="B14" s="168" t="str">
        <x:v>Phase 6</x:v>
      </x:c>
      <x:c r="C14" s="168" t="str">
        <x:v>Finance, Hotels, and Supporting Services</x:v>
      </x:c>
      <x:c r="D14" s="147" t="str">
        <x:v>Connect flights and hotels to the same client trip.</x:v>
      </x:c>
      <x:c r="E14" s="147" t="str">
        <x:v>Operational, financial, hotel, insurance, and supporting-service information is connected and easier to reconcile.</x:v>
      </x:c>
      <x:c r="F14" s="147" t="str">
        <x:v>Travel Agent; Finance User</x:v>
      </x:c>
      <x:c r="G14" s="179" t="str">
        <x:v>Medium</x:v>
      </x:c>
      <x:c r="H14" s="169" t="str">
        <x:v>To Be Confirmed</x:v>
      </x:c>
      <x:c r="I14" s="169" t="str">
        <x:v>Phase 6 — Finance, Hotels, and Supporting Services</x:v>
      </x:c>
      <x:c r="J14" s="147" t="str">
        <x:v>Requires confirmation of QuickBooks Online versus Desktop, supported integration options, hotel processes, and financial approval rules.</x:v>
      </x:c>
      <x:c r="K14" s="169" t="str">
        <x:v>Keep as proposed</x:v>
      </x:c>
      <x:c r="L14" s="170" t="str">
        <x:v>Pending project review</x:v>
      </x:c>
      <x:c r="M14" s="169" t="str"/>
    </x:row>
    <x:row r="15" ht="64" customHeight="1">
      <x:c r="A15" s="168" t="str">
        <x:v>P6-09</x:v>
      </x:c>
      <x:c r="B15" s="168" t="str">
        <x:v>Phase 6</x:v>
      </x:c>
      <x:c r="C15" s="168" t="str">
        <x:v>Finance, Hotels, and Supporting Services</x:v>
      </x:c>
      <x:c r="D15" s="147" t="str">
        <x:v>Keep hotel, insurance, and financial details together with the client’s trip.</x:v>
      </x:c>
      <x:c r="E15" s="147" t="str">
        <x:v>Operational, financial, hotel, insurance, and supporting-service information is connected and easier to reconcile.</x:v>
      </x:c>
      <x:c r="F15" s="147" t="str">
        <x:v>Travel Agent; Finance User</x:v>
      </x:c>
      <x:c r="G15" s="179" t="str">
        <x:v>Medium</x:v>
      </x:c>
      <x:c r="H15" s="169" t="str">
        <x:v>To Be Confirmed</x:v>
      </x:c>
      <x:c r="I15" s="169" t="str">
        <x:v>Phase 6 — Finance, Hotels, and Supporting Services</x:v>
      </x:c>
      <x:c r="J15" s="147" t="str">
        <x:v>Requires confirmation of QuickBooks Online versus Desktop, supported integration options, hotel processes, and financial approval rules.</x:v>
      </x:c>
      <x:c r="K15" s="169" t="str">
        <x:v>Keep as proposed</x:v>
      </x:c>
      <x:c r="L15" s="170" t="str">
        <x:v>Pending project review</x:v>
      </x:c>
      <x:c r="M15" s="169" t="str"/>
    </x:row>
    <x:row r="16" ht="64" customHeight="1">
      <x:c r="A16" s="168" t="str">
        <x:v>P6-10</x:v>
      </x:c>
      <x:c r="B16" s="168" t="str">
        <x:v>Phase 6</x:v>
      </x:c>
      <x:c r="C16" s="168" t="str">
        <x:v>Finance, Hotels, and Supporting Services</x:v>
      </x:c>
      <x:c r="D16" s="147" t="str">
        <x:v>Record whether travel-insurance information was presented, selected, declined, or left pending.</x:v>
      </x:c>
      <x:c r="E16" s="147" t="str">
        <x:v>Operational, financial, hotel, insurance, and supporting-service information is connected and easier to reconcile.</x:v>
      </x:c>
      <x:c r="F16" s="147" t="str">
        <x:v>Travel Agent; Finance User</x:v>
      </x:c>
      <x:c r="G16" s="179" t="str">
        <x:v>Medium</x:v>
      </x:c>
      <x:c r="H16" s="169" t="str">
        <x:v>To Be Confirmed</x:v>
      </x:c>
      <x:c r="I16" s="169" t="str">
        <x:v>Phase 6 — Finance, Hotels, and Supporting Services</x:v>
      </x:c>
      <x:c r="J16" s="147" t="str">
        <x:v>Requires confirmation of QuickBooks Online versus Desktop, supported integration options, hotel processes, and financial approval rules.</x:v>
      </x:c>
      <x:c r="K16" s="169" t="str">
        <x:v>Keep as proposed</x:v>
      </x:c>
      <x:c r="L16" s="170" t="str">
        <x:v>Pending project review</x:v>
      </x:c>
      <x:c r="M16" s="169" t="str"/>
    </x:row>
    <x:row r="17" ht="64" customHeight="1">
      <x:c r="A17" s="180" t="str">
        <x:v>P6-11</x:v>
      </x:c>
      <x:c r="B17" s="180" t="str">
        <x:v>Phase 6</x:v>
      </x:c>
      <x:c r="C17" s="180" t="str">
        <x:v>Finance, Hotels, and Supporting Services</x:v>
      </x:c>
      <x:c r="D17" s="181" t="str">
        <x:v>See the operational and financial status of a trip without searching through several separate systems.</x:v>
      </x:c>
      <x:c r="E17" s="181" t="str">
        <x:v>Operational, financial, hotel, insurance, and supporting-service information is connected and easier to reconcile.</x:v>
      </x:c>
      <x:c r="F17" s="181" t="str">
        <x:v>Finance User; Supervisor / Manager</x:v>
      </x:c>
      <x:c r="G17" s="182" t="str">
        <x:v>Medium</x:v>
      </x:c>
      <x:c r="H17" s="183" t="str">
        <x:v>To Be Confirmed</x:v>
      </x:c>
      <x:c r="I17" s="183" t="str">
        <x:v>Phase 6 — Finance, Hotels, and Supporting Services</x:v>
      </x:c>
      <x:c r="J17" s="181" t="str">
        <x:v>Requires confirmation of QuickBooks Online versus Desktop, supported integration options, hotel processes, and financial approval rules.</x:v>
      </x:c>
      <x:c r="K17" s="183" t="str">
        <x:v>Keep as proposed</x:v>
      </x:c>
      <x:c r="L17" s="184" t="str">
        <x:v>Pending project review</x:v>
      </x:c>
      <x:c r="M17" s="183" t="str"/>
    </x:row>
  </x:sheetData>
  <x:mergeCells>
    <x:mergeCell ref="A1:M1"/>
    <x:mergeCell ref="A2:M2"/>
    <x:mergeCell ref="A3:M3"/>
    <x:mergeCell ref="E5:M5"/>
  </x:mergeCells>
  <x:conditionalFormatting sqref="H7:H17">
    <x:cfRule type="containsText" dxfId="50" priority="1" operator="containsText" text="Must Have"/>
    <x:cfRule type="containsText" dxfId="51" priority="2" operator="containsText" text="High"/>
    <x:cfRule type="containsText" dxfId="52" priority="3" operator="containsText" text="Medium"/>
    <x:cfRule type="containsText" dxfId="53" priority="4" operator="containsText" text="Low"/>
    <x:cfRule type="containsText" dxfId="54" priority="5" operator="containsText" text="Future"/>
    <x:cfRule type="containsText" dxfId="55" priority="6" operator="containsText" text="Remove"/>
  </x:conditionalFormatting>
  <x:conditionalFormatting sqref="K7:K17">
    <x:cfRule type="containsText" dxfId="56" priority="7" operator="containsText" text="Move"/>
    <x:cfRule type="containsText" dxfId="57" priority="8" operator="containsText" text="Remove"/>
    <x:cfRule type="containsText" dxfId="58" priority="9" operator="containsText" text="Needs discussion"/>
    <x:cfRule type="containsText" dxfId="59" priority="10" operator="containsText" text="Keep"/>
  </x:conditionalFormatting>
  <x:dataValidations count="4">
    <x:dataValidation type="list" sqref="H7:H17">
      <x:formula1>"Must Have,High,Medium,Low,Future,Remove,To Be Confirmed"</x:formula1>
    </x:dataValidation>
    <x:dataValidation type="list" sqref="I7:I17">
      <x:formula1>"Phase 1 — Client Intake and Daily Work Management,Phase 2 — Flight Research, Quotes, Payment, and Booking,Phase 3 — Sabre Connection and Ticketing,Phase 4 — Active Trip Support,Phase 5 — Changes, Cancellations, Exchanges, and Refunds,Phase 6 — Finance, Hotels, and Supporting Services,Phase 7 — Fare Optimization and Assisted Recommendations,Phase 8 — Client Self-Service and Management Visibility"</x:formula1>
    </x:dataValidation>
    <x:dataValidation type="list" sqref="K7:K17">
      <x:formula1>"Keep as proposed,Move to requested phase,Defer,Remove,Needs discussion"</x:formula1>
    </x:dataValidation>
    <x:dataValidation type="list" sqref="L7:L17">
      <x:formula1>"Pending project review,Can move freely,Can move with dependencies,Should not move earlier"</x:formula1>
    </x:dataValidation>
  </x:dataValidations>
  <x:pageMargins left="0.7" right="0.7" top="0.75" bottom="0.75" header="0.3" footer="0.3"/>
  <x:legacyDrawing xmlns:r="http://schemas.openxmlformats.org/officeDocument/2006/relationships" r:id="Rd912de7c09074023"/>
  <x:tableParts count="1">
    <x:tablePart xmlns:r="http://schemas.openxmlformats.org/officeDocument/2006/relationships" r:id="R07e0738f8e104bb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34" hidden="0" customWidth="1"/>
    <x:col min="4" max="4" width="62" hidden="0" customWidth="1"/>
    <x:col min="5" max="5" width="44" hidden="0" customWidth="1"/>
    <x:col min="6" max="6" width="30" hidden="0" customWidth="1"/>
    <x:col min="7" max="7" width="20" hidden="0" customWidth="1"/>
    <x:col min="8" max="8" width="20" hidden="0" customWidth="1"/>
    <x:col min="9" max="9" width="42" hidden="0" customWidth="1"/>
    <x:col min="10" max="10" width="46" hidden="0" customWidth="1"/>
    <x:col min="11" max="11" width="24" hidden="0" customWidth="1"/>
    <x:col min="12" max="12" width="28" hidden="0" customWidth="1"/>
    <x:col min="13" max="13" width="42" hidden="0" customWidth="1"/>
  </x:cols>
  <x:sheetData>
    <x:row r="1" ht="32" customHeight="1">
      <x:c r="A1" s="131" t="str">
        <x:v>Phase 7 — Fare Optimization and Assisted Recommendations</x:v>
      </x:c>
      <x:c r="B1" s="131"/>
      <x:c r="C1" s="131"/>
      <x:c r="D1" s="131"/>
      <x:c r="E1" s="131"/>
      <x:c r="F1" s="131"/>
      <x:c r="G1" s="131"/>
      <x:c r="H1" s="131"/>
      <x:c r="I1" s="131"/>
      <x:c r="J1" s="131"/>
      <x:c r="K1" s="131"/>
      <x:c r="L1" s="131"/>
      <x:c r="M1" s="131"/>
    </x:row>
    <x:row r="2" ht="34" customHeight="1">
      <x:c r="A2" s="132" t="str">
        <x:v>Staff receive explainable recommendations for eligible savings and commercial choices while retaining human approval.</x:v>
      </x:c>
      <x:c r="B2" s="132"/>
      <x:c r="C2" s="132"/>
      <x:c r="D2" s="132"/>
      <x:c r="E2" s="132"/>
      <x:c r="F2" s="132"/>
      <x:c r="G2" s="132"/>
      <x:c r="H2" s="132"/>
      <x:c r="I2" s="132"/>
      <x:c r="J2" s="132"/>
      <x:c r="K2" s="132"/>
      <x:c r="L2" s="132"/>
      <x:c r="M2" s="132"/>
    </x:row>
    <x:row r="3" ht="34" customHeight="1">
      <x:c r="A3" s="164" t="str">
        <x:v>Review each deliverable below. Use the yellow columns to set the client priority, request another phase, record a decision, or add comments. Phase changes remain subject to dependency review.</x:v>
      </x:c>
      <x:c r="B3" s="164"/>
      <x:c r="C3" s="164"/>
      <x:c r="D3" s="164"/>
      <x:c r="E3" s="164"/>
      <x:c r="F3" s="164"/>
      <x:c r="G3" s="164"/>
      <x:c r="H3" s="164"/>
      <x:c r="I3" s="164"/>
      <x:c r="J3" s="164"/>
      <x:c r="K3" s="164"/>
      <x:c r="L3" s="164"/>
      <x:c r="M3" s="164"/>
    </x:row>
    <x:row r="4">
      <x:c r="A4" s="133"/>
      <x:c r="B4" s="133"/>
      <x:c r="C4" s="133"/>
      <x:c r="D4" s="133"/>
      <x:c r="E4" s="133"/>
      <x:c r="F4" s="133"/>
      <x:c r="G4" s="133"/>
      <x:c r="H4" s="133"/>
      <x:c r="I4" s="133"/>
      <x:c r="J4" s="133"/>
      <x:c r="K4" s="133"/>
      <x:c r="L4" s="133"/>
      <x:c r="M4" s="133"/>
    </x:row>
    <x:row r="5">
      <x:c r="A5" s="174" t="str">
        <x:v>Original phase</x:v>
      </x:c>
      <x:c r="B5" s="175" t="str">
        <x:v>Phase 7 — Fare Optimization and Assisted Recommendations</x:v>
      </x:c>
      <x:c r="C5" s="175"/>
      <x:c r="D5" s="176" t="str">
        <x:v>Recommended sequence</x:v>
      </x:c>
      <x:c r="E5" s="175" t="str">
        <x:v>Requires Sabre and ticket data, account rules, fare rules, and approval controls established in earlier phases.</x:v>
      </x:c>
      <x:c r="F5" s="175"/>
      <x:c r="G5" s="175"/>
      <x:c r="H5" s="175"/>
      <x:c r="I5" s="175"/>
      <x:c r="J5" s="175"/>
      <x:c r="K5" s="175"/>
      <x:c r="L5" s="175"/>
      <x:c r="M5" s="177"/>
    </x:row>
    <x:row r="6" ht="32" customHeight="1">
      <x:c r="A6" s="142" t="str">
        <x:v>Item ID</x:v>
      </x:c>
      <x:c r="B6" s="143" t="str">
        <x:v>Current Phase</x:v>
      </x:c>
      <x:c r="C6" s="143" t="str">
        <x:v>Phase Name</x:v>
      </x:c>
      <x:c r="D6" s="143" t="str">
        <x:v>What users will be able to do</x:v>
      </x:c>
      <x:c r="E6" s="143" t="str">
        <x:v>Expected outcome</x:v>
      </x:c>
      <x:c r="F6" s="143" t="str">
        <x:v>Primary role(s)</x:v>
      </x:c>
      <x:c r="G6" s="143" t="str">
        <x:v>Recommended priority</x:v>
      </x:c>
      <x:c r="H6" s="143" t="str">
        <x:v>Client priority</x:v>
      </x:c>
      <x:c r="I6" s="143" t="str">
        <x:v>Requested phase</x:v>
      </x:c>
      <x:c r="J6" s="143" t="str">
        <x:v>Dependency / sequencing note</x:v>
      </x:c>
      <x:c r="K6" s="143" t="str">
        <x:v>Client decision</x:v>
      </x:c>
      <x:c r="L6" s="143" t="str">
        <x:v>Project team review</x:v>
      </x:c>
      <x:c r="M6" s="144" t="str">
        <x:v>Client comments</x:v>
      </x:c>
    </x:row>
    <x:row r="7" ht="64" customHeight="1">
      <x:c r="A7" s="165" t="str">
        <x:v>P7-01</x:v>
      </x:c>
      <x:c r="B7" s="165" t="str">
        <x:v>Phase 7</x:v>
      </x:c>
      <x:c r="C7" s="165" t="str">
        <x:v>Fare Optimization and Assisted Recommendations</x:v>
      </x:c>
      <x:c r="D7" s="145" t="str">
        <x:v>Identify eligible EL AL premium or business bookings that may benefit from lower-fare monitoring.</x:v>
      </x:c>
      <x:c r="E7" s="145" t="str">
        <x:v>Staff receive explainable recommendations for eligible savings and commercial choices while retaining human approval.</x:v>
      </x:c>
      <x:c r="F7" s="145" t="str">
        <x:v>Travel Agent; Ticketing Agent; Supervisor / Manager</x:v>
      </x:c>
      <x:c r="G7" s="178" t="str">
        <x:v>Medium</x:v>
      </x:c>
      <x:c r="H7" s="166" t="str">
        <x:v>To Be Confirmed</x:v>
      </x:c>
      <x:c r="I7" s="166" t="str">
        <x:v>Phase 7 — Fare Optimization and Assisted Recommendations</x:v>
      </x:c>
      <x:c r="J7" s="145" t="str">
        <x:v>Requires Sabre and ticket data, account rules, fare rules, and approval controls established in earlier phases.</x:v>
      </x:c>
      <x:c r="K7" s="166" t="str">
        <x:v>Keep as proposed</x:v>
      </x:c>
      <x:c r="L7" s="167" t="str">
        <x:v>Pending project review</x:v>
      </x:c>
      <x:c r="M7" s="166" t="str"/>
    </x:row>
    <x:row r="8" ht="64" customHeight="1">
      <x:c r="A8" s="168" t="str">
        <x:v>P7-02</x:v>
      </x:c>
      <x:c r="B8" s="168" t="str">
        <x:v>Phase 7</x:v>
      </x:c>
      <x:c r="C8" s="168" t="str">
        <x:v>Fare Optimization and Assisted Recommendations</x:v>
      </x:c>
      <x:c r="D8" s="147" t="str">
        <x:v>Keep the client’s original confirmed booking protected while a separate lower-fare waitlist is monitored.</x:v>
      </x:c>
      <x:c r="E8" s="147" t="str">
        <x:v>Staff receive explainable recommendations for eligible savings and commercial choices while retaining human approval.</x:v>
      </x:c>
      <x:c r="F8" s="147" t="str">
        <x:v>Travel Agent; Ticketing Agent; Supervisor / Manager</x:v>
      </x:c>
      <x:c r="G8" s="179" t="str">
        <x:v>Medium</x:v>
      </x:c>
      <x:c r="H8" s="169" t="str">
        <x:v>To Be Confirmed</x:v>
      </x:c>
      <x:c r="I8" s="169" t="str">
        <x:v>Phase 7 — Fare Optimization and Assisted Recommendations</x:v>
      </x:c>
      <x:c r="J8" s="147" t="str">
        <x:v>Requires Sabre and ticket data, account rules, fare rules, and approval controls established in earlier phases.</x:v>
      </x:c>
      <x:c r="K8" s="169" t="str">
        <x:v>Keep as proposed</x:v>
      </x:c>
      <x:c r="L8" s="170" t="str">
        <x:v>Pending project review</x:v>
      </x:c>
      <x:c r="M8" s="169" t="str"/>
    </x:row>
    <x:row r="9" ht="64" customHeight="1">
      <x:c r="A9" s="168" t="str">
        <x:v>P7-03</x:v>
      </x:c>
      <x:c r="B9" s="168" t="str">
        <x:v>Phase 7</x:v>
      </x:c>
      <x:c r="C9" s="168" t="str">
        <x:v>Fare Optimization and Assisted Recommendations</x:v>
      </x:c>
      <x:c r="D9" s="147" t="str">
        <x:v>Create and link a separate waitlist PNR without confusing it with the confirmed booking.</x:v>
      </x:c>
      <x:c r="E9" s="147" t="str">
        <x:v>Staff receive explainable recommendations for eligible savings and commercial choices while retaining human approval.</x:v>
      </x:c>
      <x:c r="F9" s="147" t="str">
        <x:v>Travel Agent; Ticketing Agent; Supervisor / Manager</x:v>
      </x:c>
      <x:c r="G9" s="179" t="str">
        <x:v>Medium</x:v>
      </x:c>
      <x:c r="H9" s="169" t="str">
        <x:v>To Be Confirmed</x:v>
      </x:c>
      <x:c r="I9" s="169" t="str">
        <x:v>Phase 7 — Fare Optimization and Assisted Recommendations</x:v>
      </x:c>
      <x:c r="J9" s="147" t="str">
        <x:v>Requires Sabre and ticket data, account rules, fare rules, and approval controls established in earlier phases.</x:v>
      </x:c>
      <x:c r="K9" s="169" t="str">
        <x:v>Keep as proposed</x:v>
      </x:c>
      <x:c r="L9" s="170" t="str">
        <x:v>Pending project review</x:v>
      </x:c>
      <x:c r="M9" s="169" t="str"/>
    </x:row>
    <x:row r="10" ht="64" customHeight="1">
      <x:c r="A10" s="168" t="str">
        <x:v>P7-04</x:v>
      </x:c>
      <x:c r="B10" s="168" t="str">
        <x:v>Phase 7</x:v>
      </x:c>
      <x:c r="C10" s="168" t="str">
        <x:v>Fare Optimization and Assisted Recommendations</x:v>
      </x:c>
      <x:c r="D10" s="147" t="str">
        <x:v>Receive an alert when a lower booking class clears or another savings opportunity appears.</x:v>
      </x:c>
      <x:c r="E10" s="147" t="str">
        <x:v>Staff receive explainable recommendations for eligible savings and commercial choices while retaining human approval.</x:v>
      </x:c>
      <x:c r="F10" s="147" t="str">
        <x:v>Travel Agent; Ticketing Agent; Supervisor / Manager</x:v>
      </x:c>
      <x:c r="G10" s="179" t="str">
        <x:v>Medium</x:v>
      </x:c>
      <x:c r="H10" s="169" t="str">
        <x:v>To Be Confirmed</x:v>
      </x:c>
      <x:c r="I10" s="169" t="str">
        <x:v>Phase 7 — Fare Optimization and Assisted Recommendations</x:v>
      </x:c>
      <x:c r="J10" s="147" t="str">
        <x:v>Requires Sabre and ticket data, account rules, fare rules, and approval controls established in earlier phases.</x:v>
      </x:c>
      <x:c r="K10" s="169" t="str">
        <x:v>Keep as proposed</x:v>
      </x:c>
      <x:c r="L10" s="170" t="str">
        <x:v>Pending project review</x:v>
      </x:c>
      <x:c r="M10" s="169" t="str"/>
    </x:row>
    <x:row r="11" ht="64" customHeight="1">
      <x:c r="A11" s="168" t="str">
        <x:v>P7-05</x:v>
      </x:c>
      <x:c r="B11" s="168" t="str">
        <x:v>Phase 7</x:v>
      </x:c>
      <x:c r="C11" s="168" t="str">
        <x:v>Fare Optimization and Assisted Recommendations</x:v>
      </x:c>
      <x:c r="D11" s="147" t="str">
        <x:v>Compare the potential savings, fare rules, refund impact, and operational risk before making a change.</x:v>
      </x:c>
      <x:c r="E11" s="147" t="str">
        <x:v>Staff receive explainable recommendations for eligible savings and commercial choices while retaining human approval.</x:v>
      </x:c>
      <x:c r="F11" s="147" t="str">
        <x:v>Travel Agent; Ticketing Agent; Supervisor / Manager</x:v>
      </x:c>
      <x:c r="G11" s="179" t="str">
        <x:v>Medium</x:v>
      </x:c>
      <x:c r="H11" s="169" t="str">
        <x:v>To Be Confirmed</x:v>
      </x:c>
      <x:c r="I11" s="169" t="str">
        <x:v>Phase 7 — Fare Optimization and Assisted Recommendations</x:v>
      </x:c>
      <x:c r="J11" s="147" t="str">
        <x:v>Requires Sabre and ticket data, account rules, fare rules, and approval controls established in earlier phases.</x:v>
      </x:c>
      <x:c r="K11" s="169" t="str">
        <x:v>Keep as proposed</x:v>
      </x:c>
      <x:c r="L11" s="170" t="str">
        <x:v>Pending project review</x:v>
      </x:c>
      <x:c r="M11" s="169" t="str"/>
    </x:row>
    <x:row r="12" ht="64" customHeight="1">
      <x:c r="A12" s="168" t="str">
        <x:v>P7-06</x:v>
      </x:c>
      <x:c r="B12" s="168" t="str">
        <x:v>Phase 7</x:v>
      </x:c>
      <x:c r="C12" s="168" t="str">
        <x:v>Fare Optimization and Assisted Recommendations</x:v>
      </x:c>
      <x:c r="D12" s="147" t="str">
        <x:v>Receive a recommendation showing which Sabre account, fare, or itinerary may provide the best balance of client price and agency value.</x:v>
      </x:c>
      <x:c r="E12" s="147" t="str">
        <x:v>Staff receive explainable recommendations for eligible savings and commercial choices while retaining human approval.</x:v>
      </x:c>
      <x:c r="F12" s="147" t="str">
        <x:v>Travel Agent; Ticketing Agent; Supervisor / Manager</x:v>
      </x:c>
      <x:c r="G12" s="179" t="str">
        <x:v>Medium</x:v>
      </x:c>
      <x:c r="H12" s="169" t="str">
        <x:v>To Be Confirmed</x:v>
      </x:c>
      <x:c r="I12" s="169" t="str">
        <x:v>Phase 7 — Fare Optimization and Assisted Recommendations</x:v>
      </x:c>
      <x:c r="J12" s="147" t="str">
        <x:v>Requires Sabre and ticket data, account rules, fare rules, and approval controls established in earlier phases.</x:v>
      </x:c>
      <x:c r="K12" s="169" t="str">
        <x:v>Keep as proposed</x:v>
      </x:c>
      <x:c r="L12" s="170" t="str">
        <x:v>Pending project review</x:v>
      </x:c>
      <x:c r="M12" s="169" t="str"/>
    </x:row>
    <x:row r="13" ht="64" customHeight="1">
      <x:c r="A13" s="168" t="str">
        <x:v>P7-07</x:v>
      </x:c>
      <x:c r="B13" s="168" t="str">
        <x:v>Phase 7</x:v>
      </x:c>
      <x:c r="C13" s="168" t="str">
        <x:v>Fare Optimization and Assisted Recommendations</x:v>
      </x:c>
      <x:c r="D13" s="147" t="str">
        <x:v>See a simple explanation of why the system recommends an option.</x:v>
      </x:c>
      <x:c r="E13" s="147" t="str">
        <x:v>Staff receive explainable recommendations for eligible savings and commercial choices while retaining human approval.</x:v>
      </x:c>
      <x:c r="F13" s="147" t="str">
        <x:v>Travel Agent; Ticketing Agent; Supervisor / Manager</x:v>
      </x:c>
      <x:c r="G13" s="179" t="str">
        <x:v>Medium</x:v>
      </x:c>
      <x:c r="H13" s="169" t="str">
        <x:v>To Be Confirmed</x:v>
      </x:c>
      <x:c r="I13" s="169" t="str">
        <x:v>Phase 7 — Fare Optimization and Assisted Recommendations</x:v>
      </x:c>
      <x:c r="J13" s="147" t="str">
        <x:v>Requires Sabre and ticket data, account rules, fare rules, and approval controls established in earlier phases.</x:v>
      </x:c>
      <x:c r="K13" s="169" t="str">
        <x:v>Keep as proposed</x:v>
      </x:c>
      <x:c r="L13" s="170" t="str">
        <x:v>Pending project review</x:v>
      </x:c>
      <x:c r="M13" s="169" t="str"/>
    </x:row>
    <x:row r="14" ht="64" customHeight="1">
      <x:c r="A14" s="168" t="str">
        <x:v>P7-08</x:v>
      </x:c>
      <x:c r="B14" s="168" t="str">
        <x:v>Phase 7</x:v>
      </x:c>
      <x:c r="C14" s="168" t="str">
        <x:v>Fare Optimization and Assisted Recommendations</x:v>
      </x:c>
      <x:c r="D14" s="147" t="str">
        <x:v>Approve, reject, or override a recommendation before any ticket or booking is changed.</x:v>
      </x:c>
      <x:c r="E14" s="147" t="str">
        <x:v>Staff receive explainable recommendations for eligible savings and commercial choices while retaining human approval.</x:v>
      </x:c>
      <x:c r="F14" s="147" t="str">
        <x:v>Travel Agent; Ticketing Agent; Supervisor / Manager</x:v>
      </x:c>
      <x:c r="G14" s="179" t="str">
        <x:v>Medium</x:v>
      </x:c>
      <x:c r="H14" s="169" t="str">
        <x:v>To Be Confirmed</x:v>
      </x:c>
      <x:c r="I14" s="169" t="str">
        <x:v>Phase 7 — Fare Optimization and Assisted Recommendations</x:v>
      </x:c>
      <x:c r="J14" s="147" t="str">
        <x:v>Requires Sabre and ticket data, account rules, fare rules, and approval controls established in earlier phases.</x:v>
      </x:c>
      <x:c r="K14" s="169" t="str">
        <x:v>Keep as proposed</x:v>
      </x:c>
      <x:c r="L14" s="170" t="str">
        <x:v>Pending project review</x:v>
      </x:c>
      <x:c r="M14" s="169" t="str"/>
    </x:row>
    <x:row r="15" ht="64" customHeight="1">
      <x:c r="A15" s="180" t="str">
        <x:v>P7-09</x:v>
      </x:c>
      <x:c r="B15" s="180" t="str">
        <x:v>Phase 7</x:v>
      </x:c>
      <x:c r="C15" s="180" t="str">
        <x:v>Fare Optimization and Assisted Recommendations</x:v>
      </x:c>
      <x:c r="D15" s="181" t="str">
        <x:v>Keep a record of the final decision and the reason for any override.</x:v>
      </x:c>
      <x:c r="E15" s="181" t="str">
        <x:v>Staff receive explainable recommendations for eligible savings and commercial choices while retaining human approval.</x:v>
      </x:c>
      <x:c r="F15" s="181" t="str">
        <x:v>Travel Agent; Ticketing Agent; Supervisor / Manager</x:v>
      </x:c>
      <x:c r="G15" s="182" t="str">
        <x:v>Medium</x:v>
      </x:c>
      <x:c r="H15" s="183" t="str">
        <x:v>To Be Confirmed</x:v>
      </x:c>
      <x:c r="I15" s="183" t="str">
        <x:v>Phase 7 — Fare Optimization and Assisted Recommendations</x:v>
      </x:c>
      <x:c r="J15" s="181" t="str">
        <x:v>Requires Sabre and ticket data, account rules, fare rules, and approval controls established in earlier phases.</x:v>
      </x:c>
      <x:c r="K15" s="183" t="str">
        <x:v>Keep as proposed</x:v>
      </x:c>
      <x:c r="L15" s="184" t="str">
        <x:v>Pending project review</x:v>
      </x:c>
      <x:c r="M15" s="183" t="str"/>
    </x:row>
  </x:sheetData>
  <x:mergeCells>
    <x:mergeCell ref="A1:M1"/>
    <x:mergeCell ref="A2:M2"/>
    <x:mergeCell ref="A3:M3"/>
    <x:mergeCell ref="E5:M5"/>
  </x:mergeCells>
  <x:conditionalFormatting sqref="H7:H15">
    <x:cfRule type="containsText" dxfId="60" priority="1" operator="containsText" text="Must Have"/>
    <x:cfRule type="containsText" dxfId="61" priority="2" operator="containsText" text="High"/>
    <x:cfRule type="containsText" dxfId="62" priority="3" operator="containsText" text="Medium"/>
    <x:cfRule type="containsText" dxfId="63" priority="4" operator="containsText" text="Low"/>
    <x:cfRule type="containsText" dxfId="64" priority="5" operator="containsText" text="Future"/>
    <x:cfRule type="containsText" dxfId="65" priority="6" operator="containsText" text="Remove"/>
  </x:conditionalFormatting>
  <x:conditionalFormatting sqref="K7:K15">
    <x:cfRule type="containsText" dxfId="66" priority="7" operator="containsText" text="Move"/>
    <x:cfRule type="containsText" dxfId="67" priority="8" operator="containsText" text="Remove"/>
    <x:cfRule type="containsText" dxfId="68" priority="9" operator="containsText" text="Needs discussion"/>
    <x:cfRule type="containsText" dxfId="69" priority="10" operator="containsText" text="Keep"/>
  </x:conditionalFormatting>
  <x:dataValidations count="4">
    <x:dataValidation type="list" sqref="H7:H15">
      <x:formula1>"Must Have,High,Medium,Low,Future,Remove,To Be Confirmed"</x:formula1>
    </x:dataValidation>
    <x:dataValidation type="list" sqref="I7:I15">
      <x:formula1>"Phase 1 — Client Intake and Daily Work Management,Phase 2 — Flight Research, Quotes, Payment, and Booking,Phase 3 — Sabre Connection and Ticketing,Phase 4 — Active Trip Support,Phase 5 — Changes, Cancellations, Exchanges, and Refunds,Phase 6 — Finance, Hotels, and Supporting Services,Phase 7 — Fare Optimization and Assisted Recommendations,Phase 8 — Client Self-Service and Management Visibility"</x:formula1>
    </x:dataValidation>
    <x:dataValidation type="list" sqref="K7:K15">
      <x:formula1>"Keep as proposed,Move to requested phase,Defer,Remove,Needs discussion"</x:formula1>
    </x:dataValidation>
    <x:dataValidation type="list" sqref="L7:L15">
      <x:formula1>"Pending project review,Can move freely,Can move with dependencies,Should not move earlier"</x:formula1>
    </x:dataValidation>
  </x:dataValidations>
  <x:pageMargins left="0.7" right="0.7" top="0.75" bottom="0.75" header="0.3" footer="0.3"/>
  <x:legacyDrawing xmlns:r="http://schemas.openxmlformats.org/officeDocument/2006/relationships" r:id="R052e73a4be744097"/>
  <x:tableParts count="1">
    <x:tablePart xmlns:r="http://schemas.openxmlformats.org/officeDocument/2006/relationships" r:id="Rdc2690d058e8455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34" hidden="0" customWidth="1"/>
    <x:col min="4" max="4" width="62" hidden="0" customWidth="1"/>
    <x:col min="5" max="5" width="44" hidden="0" customWidth="1"/>
    <x:col min="6" max="6" width="30" hidden="0" customWidth="1"/>
    <x:col min="7" max="7" width="20" hidden="0" customWidth="1"/>
    <x:col min="8" max="8" width="20" hidden="0" customWidth="1"/>
    <x:col min="9" max="9" width="42" hidden="0" customWidth="1"/>
    <x:col min="10" max="10" width="46" hidden="0" customWidth="1"/>
    <x:col min="11" max="11" width="24" hidden="0" customWidth="1"/>
    <x:col min="12" max="12" width="28" hidden="0" customWidth="1"/>
    <x:col min="13" max="13" width="42" hidden="0" customWidth="1"/>
  </x:cols>
  <x:sheetData>
    <x:row r="1" ht="32" customHeight="1">
      <x:c r="A1" s="131" t="str">
        <x:v>Phase 8 — Client Self-Service and Management Visibility</x:v>
      </x:c>
      <x:c r="B1" s="131"/>
      <x:c r="C1" s="131"/>
      <x:c r="D1" s="131"/>
      <x:c r="E1" s="131"/>
      <x:c r="F1" s="131"/>
      <x:c r="G1" s="131"/>
      <x:c r="H1" s="131"/>
      <x:c r="I1" s="131"/>
      <x:c r="J1" s="131"/>
      <x:c r="K1" s="131"/>
      <x:c r="L1" s="131"/>
      <x:c r="M1" s="131"/>
    </x:row>
    <x:row r="2" ht="34" customHeight="1">
      <x:c r="A2" s="132" t="str">
        <x:v>Clients gain optional self-service tools and management gains consolidated reporting after internal operations are stable.</x:v>
      </x:c>
      <x:c r="B2" s="132"/>
      <x:c r="C2" s="132"/>
      <x:c r="D2" s="132"/>
      <x:c r="E2" s="132"/>
      <x:c r="F2" s="132"/>
      <x:c r="G2" s="132"/>
      <x:c r="H2" s="132"/>
      <x:c r="I2" s="132"/>
      <x:c r="J2" s="132"/>
      <x:c r="K2" s="132"/>
      <x:c r="L2" s="132"/>
      <x:c r="M2" s="132"/>
    </x:row>
    <x:row r="3" ht="34" customHeight="1">
      <x:c r="A3" s="164" t="str">
        <x:v>Review each deliverable below. Use the yellow columns to set the client priority, request another phase, record a decision, or add comments. Phase changes remain subject to dependency review.</x:v>
      </x:c>
      <x:c r="B3" s="164"/>
      <x:c r="C3" s="164"/>
      <x:c r="D3" s="164"/>
      <x:c r="E3" s="164"/>
      <x:c r="F3" s="164"/>
      <x:c r="G3" s="164"/>
      <x:c r="H3" s="164"/>
      <x:c r="I3" s="164"/>
      <x:c r="J3" s="164"/>
      <x:c r="K3" s="164"/>
      <x:c r="L3" s="164"/>
      <x:c r="M3" s="164"/>
    </x:row>
    <x:row r="4">
      <x:c r="A4" s="133"/>
      <x:c r="B4" s="133"/>
      <x:c r="C4" s="133"/>
      <x:c r="D4" s="133"/>
      <x:c r="E4" s="133"/>
      <x:c r="F4" s="133"/>
      <x:c r="G4" s="133"/>
      <x:c r="H4" s="133"/>
      <x:c r="I4" s="133"/>
      <x:c r="J4" s="133"/>
      <x:c r="K4" s="133"/>
      <x:c r="L4" s="133"/>
      <x:c r="M4" s="133"/>
    </x:row>
    <x:row r="5">
      <x:c r="A5" s="174" t="str">
        <x:v>Original phase</x:v>
      </x:c>
      <x:c r="B5" s="175" t="str">
        <x:v>Phase 8 — Client Self-Service and Management Visibility</x:v>
      </x:c>
      <x:c r="C5" s="175"/>
      <x:c r="D5" s="176" t="str">
        <x:v>Recommended sequence</x:v>
      </x:c>
      <x:c r="E5" s="175" t="str">
        <x:v>Requires stable internal workflows, security, permissions, and reliable data from the earlier phases.</x:v>
      </x:c>
      <x:c r="F5" s="175"/>
      <x:c r="G5" s="175"/>
      <x:c r="H5" s="175"/>
      <x:c r="I5" s="175"/>
      <x:c r="J5" s="175"/>
      <x:c r="K5" s="175"/>
      <x:c r="L5" s="175"/>
      <x:c r="M5" s="177"/>
    </x:row>
    <x:row r="6" ht="32" customHeight="1">
      <x:c r="A6" s="142" t="str">
        <x:v>Item ID</x:v>
      </x:c>
      <x:c r="B6" s="143" t="str">
        <x:v>Current Phase</x:v>
      </x:c>
      <x:c r="C6" s="143" t="str">
        <x:v>Phase Name</x:v>
      </x:c>
      <x:c r="D6" s="143" t="str">
        <x:v>What users will be able to do</x:v>
      </x:c>
      <x:c r="E6" s="143" t="str">
        <x:v>Expected outcome</x:v>
      </x:c>
      <x:c r="F6" s="143" t="str">
        <x:v>Primary role(s)</x:v>
      </x:c>
      <x:c r="G6" s="143" t="str">
        <x:v>Recommended priority</x:v>
      </x:c>
      <x:c r="H6" s="143" t="str">
        <x:v>Client priority</x:v>
      </x:c>
      <x:c r="I6" s="143" t="str">
        <x:v>Requested phase</x:v>
      </x:c>
      <x:c r="J6" s="143" t="str">
        <x:v>Dependency / sequencing note</x:v>
      </x:c>
      <x:c r="K6" s="143" t="str">
        <x:v>Client decision</x:v>
      </x:c>
      <x:c r="L6" s="143" t="str">
        <x:v>Project team review</x:v>
      </x:c>
      <x:c r="M6" s="144" t="str">
        <x:v>Client comments</x:v>
      </x:c>
    </x:row>
    <x:row r="7" ht="64" customHeight="1">
      <x:c r="A7" s="165" t="str">
        <x:v>P8-01</x:v>
      </x:c>
      <x:c r="B7" s="165" t="str">
        <x:v>Phase 8</x:v>
      </x:c>
      <x:c r="C7" s="165" t="str">
        <x:v>Client Self-Service and Management Visibility</x:v>
      </x:c>
      <x:c r="D7" s="145" t="str">
        <x:v>Allow clients to submit a travel request through a secure online form or portal.</x:v>
      </x:c>
      <x:c r="E7" s="145" t="str">
        <x:v>Clients gain optional self-service tools and management gains consolidated reporting after internal operations are stable.</x:v>
      </x:c>
      <x:c r="F7" s="145" t="str">
        <x:v>Client; Travel Agent</x:v>
      </x:c>
      <x:c r="G7" s="178" t="str">
        <x:v>Future</x:v>
      </x:c>
      <x:c r="H7" s="166" t="str">
        <x:v>To Be Confirmed</x:v>
      </x:c>
      <x:c r="I7" s="166" t="str">
        <x:v>Phase 8 — Client Self-Service and Management Visibility</x:v>
      </x:c>
      <x:c r="J7" s="145" t="str">
        <x:v>Requires stable internal workflows, security, permissions, and reliable data from the earlier phases.</x:v>
      </x:c>
      <x:c r="K7" s="166" t="str">
        <x:v>Keep as proposed</x:v>
      </x:c>
      <x:c r="L7" s="167" t="str">
        <x:v>Pending project review</x:v>
      </x:c>
      <x:c r="M7" s="166" t="str"/>
    </x:row>
    <x:row r="8" ht="64" customHeight="1">
      <x:c r="A8" s="168" t="str">
        <x:v>P8-02</x:v>
      </x:c>
      <x:c r="B8" s="168" t="str">
        <x:v>Phase 8</x:v>
      </x:c>
      <x:c r="C8" s="168" t="str">
        <x:v>Client Self-Service and Management Visibility</x:v>
      </x:c>
      <x:c r="D8" s="147" t="str">
        <x:v>Allow clients to maintain their traveller and family information for future trips.</x:v>
      </x:c>
      <x:c r="E8" s="147" t="str">
        <x:v>Clients gain optional self-service tools and management gains consolidated reporting after internal operations are stable.</x:v>
      </x:c>
      <x:c r="F8" s="147" t="str">
        <x:v>Client; Travel Agent</x:v>
      </x:c>
      <x:c r="G8" s="179" t="str">
        <x:v>Future</x:v>
      </x:c>
      <x:c r="H8" s="169" t="str">
        <x:v>To Be Confirmed</x:v>
      </x:c>
      <x:c r="I8" s="169" t="str">
        <x:v>Phase 8 — Client Self-Service and Management Visibility</x:v>
      </x:c>
      <x:c r="J8" s="147" t="str">
        <x:v>Requires stable internal workflows, security, permissions, and reliable data from the earlier phases.</x:v>
      </x:c>
      <x:c r="K8" s="169" t="str">
        <x:v>Keep as proposed</x:v>
      </x:c>
      <x:c r="L8" s="170" t="str">
        <x:v>Pending project review</x:v>
      </x:c>
      <x:c r="M8" s="169" t="str"/>
    </x:row>
    <x:row r="9" ht="64" customHeight="1">
      <x:c r="A9" s="168" t="str">
        <x:v>P8-03</x:v>
      </x:c>
      <x:c r="B9" s="168" t="str">
        <x:v>Phase 8</x:v>
      </x:c>
      <x:c r="C9" s="168" t="str">
        <x:v>Client Self-Service and Management Visibility</x:v>
      </x:c>
      <x:c r="D9" s="147" t="str">
        <x:v>Allow clients to upload required documents securely.</x:v>
      </x:c>
      <x:c r="E9" s="147" t="str">
        <x:v>Clients gain optional self-service tools and management gains consolidated reporting after internal operations are stable.</x:v>
      </x:c>
      <x:c r="F9" s="147" t="str">
        <x:v>Client; Travel Agent</x:v>
      </x:c>
      <x:c r="G9" s="179" t="str">
        <x:v>Future</x:v>
      </x:c>
      <x:c r="H9" s="169" t="str">
        <x:v>To Be Confirmed</x:v>
      </x:c>
      <x:c r="I9" s="169" t="str">
        <x:v>Phase 8 — Client Self-Service and Management Visibility</x:v>
      </x:c>
      <x:c r="J9" s="147" t="str">
        <x:v>Requires stable internal workflows, security, permissions, and reliable data from the earlier phases.</x:v>
      </x:c>
      <x:c r="K9" s="169" t="str">
        <x:v>Keep as proposed</x:v>
      </x:c>
      <x:c r="L9" s="170" t="str">
        <x:v>Pending project review</x:v>
      </x:c>
      <x:c r="M9" s="169" t="str"/>
    </x:row>
    <x:row r="10" ht="64" customHeight="1">
      <x:c r="A10" s="168" t="str">
        <x:v>P8-04</x:v>
      </x:c>
      <x:c r="B10" s="168" t="str">
        <x:v>Phase 8</x:v>
      </x:c>
      <x:c r="C10" s="168" t="str">
        <x:v>Client Self-Service and Management Visibility</x:v>
      </x:c>
      <x:c r="D10" s="147" t="str">
        <x:v>Allow clients to review proposed itineraries and accept, decline, or request changes.</x:v>
      </x:c>
      <x:c r="E10" s="147" t="str">
        <x:v>Clients gain optional self-service tools and management gains consolidated reporting after internal operations are stable.</x:v>
      </x:c>
      <x:c r="F10" s="147" t="str">
        <x:v>Client; Travel Agent</x:v>
      </x:c>
      <x:c r="G10" s="179" t="str">
        <x:v>Future</x:v>
      </x:c>
      <x:c r="H10" s="169" t="str">
        <x:v>To Be Confirmed</x:v>
      </x:c>
      <x:c r="I10" s="169" t="str">
        <x:v>Phase 8 — Client Self-Service and Management Visibility</x:v>
      </x:c>
      <x:c r="J10" s="147" t="str">
        <x:v>Requires stable internal workflows, security, permissions, and reliable data from the earlier phases.</x:v>
      </x:c>
      <x:c r="K10" s="169" t="str">
        <x:v>Keep as proposed</x:v>
      </x:c>
      <x:c r="L10" s="170" t="str">
        <x:v>Pending project review</x:v>
      </x:c>
      <x:c r="M10" s="169" t="str"/>
    </x:row>
    <x:row r="11" ht="64" customHeight="1">
      <x:c r="A11" s="168" t="str">
        <x:v>P8-05</x:v>
      </x:c>
      <x:c r="B11" s="168" t="str">
        <x:v>Phase 8</x:v>
      </x:c>
      <x:c r="C11" s="168" t="str">
        <x:v>Client Self-Service and Management Visibility</x:v>
      </x:c>
      <x:c r="D11" s="147" t="str">
        <x:v>Allow clients to pay approved invoices or balances online.</x:v>
      </x:c>
      <x:c r="E11" s="147" t="str">
        <x:v>Clients gain optional self-service tools and management gains consolidated reporting after internal operations are stable.</x:v>
      </x:c>
      <x:c r="F11" s="147" t="str">
        <x:v>Client; Travel Agent</x:v>
      </x:c>
      <x:c r="G11" s="179" t="str">
        <x:v>Future</x:v>
      </x:c>
      <x:c r="H11" s="169" t="str">
        <x:v>To Be Confirmed</x:v>
      </x:c>
      <x:c r="I11" s="169" t="str">
        <x:v>Phase 8 — Client Self-Service and Management Visibility</x:v>
      </x:c>
      <x:c r="J11" s="147" t="str">
        <x:v>Requires stable internal workflows, security, permissions, and reliable data from the earlier phases.</x:v>
      </x:c>
      <x:c r="K11" s="169" t="str">
        <x:v>Keep as proposed</x:v>
      </x:c>
      <x:c r="L11" s="170" t="str">
        <x:v>Pending project review</x:v>
      </x:c>
      <x:c r="M11" s="169" t="str"/>
    </x:row>
    <x:row r="12" ht="64" customHeight="1">
      <x:c r="A12" s="168" t="str">
        <x:v>P8-06</x:v>
      </x:c>
      <x:c r="B12" s="168" t="str">
        <x:v>Phase 8</x:v>
      </x:c>
      <x:c r="C12" s="168" t="str">
        <x:v>Client Self-Service and Management Visibility</x:v>
      </x:c>
      <x:c r="D12" s="147" t="str">
        <x:v>Allow clients to view current itineraries, tickets, trip documents, and important updates.</x:v>
      </x:c>
      <x:c r="E12" s="147" t="str">
        <x:v>Clients gain optional self-service tools and management gains consolidated reporting after internal operations are stable.</x:v>
      </x:c>
      <x:c r="F12" s="147" t="str">
        <x:v>Client; Travel Agent</x:v>
      </x:c>
      <x:c r="G12" s="179" t="str">
        <x:v>Future</x:v>
      </x:c>
      <x:c r="H12" s="169" t="str">
        <x:v>To Be Confirmed</x:v>
      </x:c>
      <x:c r="I12" s="169" t="str">
        <x:v>Phase 8 — Client Self-Service and Management Visibility</x:v>
      </x:c>
      <x:c r="J12" s="147" t="str">
        <x:v>Requires stable internal workflows, security, permissions, and reliable data from the earlier phases.</x:v>
      </x:c>
      <x:c r="K12" s="169" t="str">
        <x:v>Keep as proposed</x:v>
      </x:c>
      <x:c r="L12" s="170" t="str">
        <x:v>Pending project review</x:v>
      </x:c>
      <x:c r="M12" s="169" t="str"/>
    </x:row>
    <x:row r="13" ht="64" customHeight="1">
      <x:c r="A13" s="168" t="str">
        <x:v>P8-07</x:v>
      </x:c>
      <x:c r="B13" s="168" t="str">
        <x:v>Phase 8</x:v>
      </x:c>
      <x:c r="C13" s="168" t="str">
        <x:v>Client Self-Service and Management Visibility</x:v>
      </x:c>
      <x:c r="D13" s="147" t="str">
        <x:v>Allow clients to confirm check-in or request help from their assigned agent.</x:v>
      </x:c>
      <x:c r="E13" s="147" t="str">
        <x:v>Clients gain optional self-service tools and management gains consolidated reporting after internal operations are stable.</x:v>
      </x:c>
      <x:c r="F13" s="147" t="str">
        <x:v>Client; Travel Agent</x:v>
      </x:c>
      <x:c r="G13" s="179" t="str">
        <x:v>Future</x:v>
      </x:c>
      <x:c r="H13" s="169" t="str">
        <x:v>To Be Confirmed</x:v>
      </x:c>
      <x:c r="I13" s="169" t="str">
        <x:v>Phase 8 — Client Self-Service and Management Visibility</x:v>
      </x:c>
      <x:c r="J13" s="147" t="str">
        <x:v>Requires stable internal workflows, security, permissions, and reliable data from the earlier phases.</x:v>
      </x:c>
      <x:c r="K13" s="169" t="str">
        <x:v>Keep as proposed</x:v>
      </x:c>
      <x:c r="L13" s="170" t="str">
        <x:v>Pending project review</x:v>
      </x:c>
      <x:c r="M13" s="169" t="str"/>
    </x:row>
    <x:row r="14" ht="64" customHeight="1">
      <x:c r="A14" s="168" t="str">
        <x:v>P8-08</x:v>
      </x:c>
      <x:c r="B14" s="168" t="str">
        <x:v>Phase 8</x:v>
      </x:c>
      <x:c r="C14" s="168" t="str">
        <x:v>Client Self-Service and Management Visibility</x:v>
      </x:c>
      <x:c r="D14" s="147" t="str">
        <x:v>Allow managers to see inquiry-to-booking conversion and the main reasons clients decline.</x:v>
      </x:c>
      <x:c r="E14" s="147" t="str">
        <x:v>Clients gain optional self-service tools and management gains consolidated reporting after internal operations are stable.</x:v>
      </x:c>
      <x:c r="F14" s="147" t="str">
        <x:v>Supervisor / Manager</x:v>
      </x:c>
      <x:c r="G14" s="179" t="str">
        <x:v>Future</x:v>
      </x:c>
      <x:c r="H14" s="169" t="str">
        <x:v>To Be Confirmed</x:v>
      </x:c>
      <x:c r="I14" s="169" t="str">
        <x:v>Phase 8 — Client Self-Service and Management Visibility</x:v>
      </x:c>
      <x:c r="J14" s="147" t="str">
        <x:v>Requires stable internal workflows, security, permissions, and reliable data from the earlier phases.</x:v>
      </x:c>
      <x:c r="K14" s="169" t="str">
        <x:v>Keep as proposed</x:v>
      </x:c>
      <x:c r="L14" s="170" t="str">
        <x:v>Pending project review</x:v>
      </x:c>
      <x:c r="M14" s="169" t="str"/>
    </x:row>
    <x:row r="15" ht="64" customHeight="1">
      <x:c r="A15" s="168" t="str">
        <x:v>P8-09</x:v>
      </x:c>
      <x:c r="B15" s="168" t="str">
        <x:v>Phase 8</x:v>
      </x:c>
      <x:c r="C15" s="168" t="str">
        <x:v>Client Self-Service and Management Visibility</x:v>
      </x:c>
      <x:c r="D15" s="147" t="str">
        <x:v>Allow managers to see booking-fee revenue, sales, commissions, markups, and estimated profitability.</x:v>
      </x:c>
      <x:c r="E15" s="147" t="str">
        <x:v>Clients gain optional self-service tools and management gains consolidated reporting after internal operations are stable.</x:v>
      </x:c>
      <x:c r="F15" s="147" t="str">
        <x:v>Supervisor / Manager</x:v>
      </x:c>
      <x:c r="G15" s="179" t="str">
        <x:v>Future</x:v>
      </x:c>
      <x:c r="H15" s="169" t="str">
        <x:v>To Be Confirmed</x:v>
      </x:c>
      <x:c r="I15" s="169" t="str">
        <x:v>Phase 8 — Client Self-Service and Management Visibility</x:v>
      </x:c>
      <x:c r="J15" s="147" t="str">
        <x:v>Requires stable internal workflows, security, permissions, and reliable data from the earlier phases.</x:v>
      </x:c>
      <x:c r="K15" s="169" t="str">
        <x:v>Keep as proposed</x:v>
      </x:c>
      <x:c r="L15" s="170" t="str">
        <x:v>Pending project review</x:v>
      </x:c>
      <x:c r="M15" s="169" t="str"/>
    </x:row>
    <x:row r="16" ht="64" customHeight="1">
      <x:c r="A16" s="168" t="str">
        <x:v>P8-10</x:v>
      </x:c>
      <x:c r="B16" s="168" t="str">
        <x:v>Phase 8</x:v>
      </x:c>
      <x:c r="C16" s="168" t="str">
        <x:v>Client Self-Service and Management Visibility</x:v>
      </x:c>
      <x:c r="D16" s="147" t="str">
        <x:v>Allow managers to see ticketing deadlines, active-trip risks, unresolved refunds, and queue exceptions.</x:v>
      </x:c>
      <x:c r="E16" s="147" t="str">
        <x:v>Clients gain optional self-service tools and management gains consolidated reporting after internal operations are stable.</x:v>
      </x:c>
      <x:c r="F16" s="147" t="str">
        <x:v>Supervisor / Manager</x:v>
      </x:c>
      <x:c r="G16" s="179" t="str">
        <x:v>Future</x:v>
      </x:c>
      <x:c r="H16" s="169" t="str">
        <x:v>To Be Confirmed</x:v>
      </x:c>
      <x:c r="I16" s="169" t="str">
        <x:v>Phase 8 — Client Self-Service and Management Visibility</x:v>
      </x:c>
      <x:c r="J16" s="147" t="str">
        <x:v>Requires stable internal workflows, security, permissions, and reliable data from the earlier phases.</x:v>
      </x:c>
      <x:c r="K16" s="169" t="str">
        <x:v>Keep as proposed</x:v>
      </x:c>
      <x:c r="L16" s="170" t="str">
        <x:v>Pending project review</x:v>
      </x:c>
      <x:c r="M16" s="169" t="str"/>
    </x:row>
    <x:row r="17" ht="64" customHeight="1">
      <x:c r="A17" s="168" t="str">
        <x:v>P8-11</x:v>
      </x:c>
      <x:c r="B17" s="168" t="str">
        <x:v>Phase 8</x:v>
      </x:c>
      <x:c r="C17" s="168" t="str">
        <x:v>Client Self-Service and Management Visibility</x:v>
      </x:c>
      <x:c r="D17" s="147" t="str">
        <x:v>Allow managers to review agent workload, open requests, follow-up performance, and urgent client cases.</x:v>
      </x:c>
      <x:c r="E17" s="147" t="str">
        <x:v>Clients gain optional self-service tools and management gains consolidated reporting after internal operations are stable.</x:v>
      </x:c>
      <x:c r="F17" s="147" t="str">
        <x:v>Supervisor / Manager</x:v>
      </x:c>
      <x:c r="G17" s="179" t="str">
        <x:v>Future</x:v>
      </x:c>
      <x:c r="H17" s="169" t="str">
        <x:v>To Be Confirmed</x:v>
      </x:c>
      <x:c r="I17" s="169" t="str">
        <x:v>Phase 8 — Client Self-Service and Management Visibility</x:v>
      </x:c>
      <x:c r="J17" s="147" t="str">
        <x:v>Requires stable internal workflows, security, permissions, and reliable data from the earlier phases.</x:v>
      </x:c>
      <x:c r="K17" s="169" t="str">
        <x:v>Keep as proposed</x:v>
      </x:c>
      <x:c r="L17" s="170" t="str">
        <x:v>Pending project review</x:v>
      </x:c>
      <x:c r="M17" s="169" t="str"/>
    </x:row>
    <x:row r="18" ht="64" customHeight="1">
      <x:c r="A18" s="168" t="str">
        <x:v>P8-12</x:v>
      </x:c>
      <x:c r="B18" s="168" t="str">
        <x:v>Phase 8</x:v>
      </x:c>
      <x:c r="C18" s="168" t="str">
        <x:v>Client Self-Service and Management Visibility</x:v>
      </x:c>
      <x:c r="D18" s="147" t="str">
        <x:v>Allow managers to review how often system recommendations were accepted or overridden.</x:v>
      </x:c>
      <x:c r="E18" s="147" t="str">
        <x:v>Clients gain optional self-service tools and management gains consolidated reporting after internal operations are stable.</x:v>
      </x:c>
      <x:c r="F18" s="147" t="str">
        <x:v>Supervisor / Manager</x:v>
      </x:c>
      <x:c r="G18" s="179" t="str">
        <x:v>Future</x:v>
      </x:c>
      <x:c r="H18" s="169" t="str">
        <x:v>To Be Confirmed</x:v>
      </x:c>
      <x:c r="I18" s="169" t="str">
        <x:v>Phase 8 — Client Self-Service and Management Visibility</x:v>
      </x:c>
      <x:c r="J18" s="147" t="str">
        <x:v>Requires stable internal workflows, security, permissions, and reliable data from the earlier phases.</x:v>
      </x:c>
      <x:c r="K18" s="169" t="str">
        <x:v>Keep as proposed</x:v>
      </x:c>
      <x:c r="L18" s="170" t="str">
        <x:v>Pending project review</x:v>
      </x:c>
      <x:c r="M18" s="169" t="str"/>
    </x:row>
    <x:row r="19" ht="64" customHeight="1">
      <x:c r="A19" s="180" t="str">
        <x:v>P8-13</x:v>
      </x:c>
      <x:c r="B19" s="180" t="str">
        <x:v>Phase 8</x:v>
      </x:c>
      <x:c r="C19" s="180" t="str">
        <x:v>Client Self-Service and Management Visibility</x:v>
      </x:c>
      <x:c r="D19" s="181" t="str">
        <x:v>Allow managers to use reports to decide which services, client groups, airlines, and processes need attention.</x:v>
      </x:c>
      <x:c r="E19" s="181" t="str">
        <x:v>Clients gain optional self-service tools and management gains consolidated reporting after internal operations are stable.</x:v>
      </x:c>
      <x:c r="F19" s="181" t="str">
        <x:v>Supervisor / Manager</x:v>
      </x:c>
      <x:c r="G19" s="182" t="str">
        <x:v>Future</x:v>
      </x:c>
      <x:c r="H19" s="183" t="str">
        <x:v>To Be Confirmed</x:v>
      </x:c>
      <x:c r="I19" s="183" t="str">
        <x:v>Phase 8 — Client Self-Service and Management Visibility</x:v>
      </x:c>
      <x:c r="J19" s="181" t="str">
        <x:v>Requires stable internal workflows, security, permissions, and reliable data from the earlier phases.</x:v>
      </x:c>
      <x:c r="K19" s="183" t="str">
        <x:v>Keep as proposed</x:v>
      </x:c>
      <x:c r="L19" s="184" t="str">
        <x:v>Pending project review</x:v>
      </x:c>
      <x:c r="M19" s="183" t="str"/>
    </x:row>
  </x:sheetData>
  <x:mergeCells>
    <x:mergeCell ref="A1:M1"/>
    <x:mergeCell ref="A2:M2"/>
    <x:mergeCell ref="A3:M3"/>
    <x:mergeCell ref="E5:M5"/>
  </x:mergeCells>
  <x:conditionalFormatting sqref="H7:H19">
    <x:cfRule type="containsText" dxfId="70" priority="1" operator="containsText" text="Must Have"/>
    <x:cfRule type="containsText" dxfId="71" priority="2" operator="containsText" text="High"/>
    <x:cfRule type="containsText" dxfId="72" priority="3" operator="containsText" text="Medium"/>
    <x:cfRule type="containsText" dxfId="73" priority="4" operator="containsText" text="Low"/>
    <x:cfRule type="containsText" dxfId="74" priority="5" operator="containsText" text="Future"/>
    <x:cfRule type="containsText" dxfId="75" priority="6" operator="containsText" text="Remove"/>
  </x:conditionalFormatting>
  <x:conditionalFormatting sqref="K7:K19">
    <x:cfRule type="containsText" dxfId="76" priority="7" operator="containsText" text="Move"/>
    <x:cfRule type="containsText" dxfId="77" priority="8" operator="containsText" text="Remove"/>
    <x:cfRule type="containsText" dxfId="78" priority="9" operator="containsText" text="Needs discussion"/>
    <x:cfRule type="containsText" dxfId="79" priority="10" operator="containsText" text="Keep"/>
  </x:conditionalFormatting>
  <x:dataValidations count="4">
    <x:dataValidation type="list" sqref="H7:H19">
      <x:formula1>"Must Have,High,Medium,Low,Future,Remove,To Be Confirmed"</x:formula1>
    </x:dataValidation>
    <x:dataValidation type="list" sqref="I7:I19">
      <x:formula1>"Phase 1 — Client Intake and Daily Work Management,Phase 2 — Flight Research, Quotes, Payment, and Booking,Phase 3 — Sabre Connection and Ticketing,Phase 4 — Active Trip Support,Phase 5 — Changes, Cancellations, Exchanges, and Refunds,Phase 6 — Finance, Hotels, and Supporting Services,Phase 7 — Fare Optimization and Assisted Recommendations,Phase 8 — Client Self-Service and Management Visibility"</x:formula1>
    </x:dataValidation>
    <x:dataValidation type="list" sqref="K7:K19">
      <x:formula1>"Keep as proposed,Move to requested phase,Defer,Remove,Needs discussion"</x:formula1>
    </x:dataValidation>
    <x:dataValidation type="list" sqref="L7:L19">
      <x:formula1>"Pending project review,Can move freely,Can move with dependencies,Should not move earlier"</x:formula1>
    </x:dataValidation>
  </x:dataValidations>
  <x:pageMargins left="0.7" right="0.7" top="0.75" bottom="0.75" header="0.3" footer="0.3"/>
  <x:legacyDrawing xmlns:r="http://schemas.openxmlformats.org/officeDocument/2006/relationships" r:id="Rffb7499c0ec64f35"/>
  <x:tableParts count="1">
    <x:tablePart xmlns:r="http://schemas.openxmlformats.org/officeDocument/2006/relationships" r:id="Rf41def7b4ffa4a4b"/>
  </x:tableParts>
</x:worksheet>
</file>